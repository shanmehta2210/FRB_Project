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<sst xmlns="http://schemas.openxmlformats.org/spreadsheetml/2006/main" count="338" uniqueCount="161">
  <si>
    <t>Sersic fit</t>
  </si>
  <si>
    <t>Sersic error</t>
  </si>
  <si>
    <t>Convergence value</t>
  </si>
  <si>
    <t>Initial fit</t>
  </si>
  <si>
    <t>spline fit results?</t>
  </si>
  <si>
    <t>Match with Kevin</t>
  </si>
  <si>
    <t>Match with DESI?</t>
  </si>
  <si>
    <t>Match with isophot?</t>
  </si>
  <si>
    <t>Note</t>
  </si>
  <si>
    <t>Confirm by Jimin</t>
  </si>
  <si>
    <t>Effective Radius</t>
  </si>
  <si>
    <t>Sersic index</t>
  </si>
  <si>
    <t>log(SSFR)</t>
  </si>
  <si>
    <t>SFR</t>
  </si>
  <si>
    <t>SFMS_lower_limit</t>
  </si>
  <si>
    <t>log(mass)</t>
  </si>
  <si>
    <t>Mass</t>
  </si>
  <si>
    <t>DM_FRB</t>
  </si>
  <si>
    <t>Host galaxy Ra</t>
  </si>
  <si>
    <t>Host galaxy Dec</t>
  </si>
  <si>
    <t>SDSS coverage</t>
  </si>
  <si>
    <t>z</t>
  </si>
  <si>
    <t>b/a</t>
  </si>
  <si>
    <t>i(isophote)</t>
  </si>
  <si>
    <t>i(q0 = 0.05)</t>
  </si>
  <si>
    <t>i (q0 = 0.2)</t>
  </si>
  <si>
    <t>DM_MW_ne2001</t>
  </si>
  <si>
    <t>DM_MW_ymw16</t>
  </si>
  <si>
    <t>DM_host</t>
  </si>
  <si>
    <t>DM_host_ymw16</t>
  </si>
  <si>
    <t>r-band mag</t>
  </si>
  <si>
    <t>kron mag</t>
  </si>
  <si>
    <t>kron mag _err</t>
  </si>
  <si>
    <t>u amg</t>
  </si>
  <si>
    <t>r mag</t>
  </si>
  <si>
    <t xml:space="preserve">20211203c </t>
  </si>
  <si>
    <t>13.18+-1.01</t>
  </si>
  <si>
    <t>yes</t>
  </si>
  <si>
    <t>Yes</t>
  </si>
  <si>
    <t>No; 10</t>
  </si>
  <si>
    <t>No</t>
  </si>
  <si>
    <t>0.34386</t>
  </si>
  <si>
    <t>20211127i</t>
  </si>
  <si>
    <t>okay</t>
  </si>
  <si>
    <t>33.81+-1).01 (L = 0.047</t>
  </si>
  <si>
    <t>No; 13 deg off</t>
  </si>
  <si>
    <t>No; 66</t>
  </si>
  <si>
    <t>No; 33</t>
  </si>
  <si>
    <t>Looks goos' remake the image with new residual</t>
  </si>
  <si>
    <t>20220319d</t>
  </si>
  <si>
    <t>Not converging</t>
  </si>
  <si>
    <t>0.011228</t>
  </si>
  <si>
    <t>20220920a</t>
  </si>
  <si>
    <t>26.58+-1.01</t>
  </si>
  <si>
    <t>0 for DESI</t>
  </si>
  <si>
    <t>5 deg off</t>
  </si>
  <si>
    <t>0.158239</t>
  </si>
  <si>
    <t>20210320c</t>
  </si>
  <si>
    <t>25.99+-1.01</t>
  </si>
  <si>
    <t>0.2797</t>
  </si>
  <si>
    <t>20211212a</t>
  </si>
  <si>
    <t>31.88+-1.01</t>
  </si>
  <si>
    <t>No; 13</t>
  </si>
  <si>
    <t>0.0707</t>
  </si>
  <si>
    <t>20180924b</t>
  </si>
  <si>
    <t>33.47+-1.01</t>
  </si>
  <si>
    <t xml:space="preserve">No; 13 </t>
  </si>
  <si>
    <t>0.3212</t>
  </si>
  <si>
    <t>20220418a</t>
  </si>
  <si>
    <t>35.07+-1.01</t>
  </si>
  <si>
    <t>0.621348</t>
  </si>
  <si>
    <t>20220310f</t>
  </si>
  <si>
    <t>39.45+-1.01</t>
  </si>
  <si>
    <t>No, 10</t>
  </si>
  <si>
    <t>0.477958</t>
  </si>
  <si>
    <t>20190608b</t>
  </si>
  <si>
    <t>36.14+-1.01 (but not converged w/ L=30.6)</t>
  </si>
  <si>
    <t>7 deg off</t>
  </si>
  <si>
    <t>No; 15</t>
  </si>
  <si>
    <t>0.1177805</t>
  </si>
  <si>
    <t>20210807d</t>
  </si>
  <si>
    <t>38.54+-1.01</t>
  </si>
  <si>
    <t>0.12927</t>
  </si>
  <si>
    <t>20210410d</t>
  </si>
  <si>
    <t>39.83+-1.01</t>
  </si>
  <si>
    <t>5 degree off</t>
  </si>
  <si>
    <t>smooth the image and then fit</t>
  </si>
  <si>
    <t>0.1415</t>
  </si>
  <si>
    <t>20220912a</t>
  </si>
  <si>
    <t>33.06+-1.01(Not converged w/ L = 9.13</t>
  </si>
  <si>
    <t xml:space="preserve">No; 12 </t>
  </si>
  <si>
    <t>try to get better convergence value(from 0.001)</t>
  </si>
  <si>
    <t>20220307b</t>
  </si>
  <si>
    <t>41.54+-1.01</t>
  </si>
  <si>
    <t>0.248123</t>
  </si>
  <si>
    <t>20221012a</t>
  </si>
  <si>
    <t>43.67+-1.01</t>
  </si>
  <si>
    <t>0.284669</t>
  </si>
  <si>
    <t>20220914a</t>
  </si>
  <si>
    <t>43.04+-1.01</t>
  </si>
  <si>
    <t>No; 17</t>
  </si>
  <si>
    <t>0.113859</t>
  </si>
  <si>
    <t>20220825a</t>
  </si>
  <si>
    <t>44.62+-1.01</t>
  </si>
  <si>
    <t>6 deg off</t>
  </si>
  <si>
    <t>0.241397</t>
  </si>
  <si>
    <t>20190102c</t>
  </si>
  <si>
    <t>48.07+-1.01</t>
  </si>
  <si>
    <t>No; 18</t>
  </si>
  <si>
    <t>No; 7</t>
  </si>
  <si>
    <t>0.2912</t>
  </si>
  <si>
    <t>20190714a</t>
  </si>
  <si>
    <t>49.37+-1.01</t>
  </si>
  <si>
    <t>0.2365</t>
  </si>
  <si>
    <t>20220105a</t>
  </si>
  <si>
    <t>49.95+-1.00</t>
  </si>
  <si>
    <t>No; 23</t>
  </si>
  <si>
    <t>0.2785</t>
  </si>
  <si>
    <t>20191001a</t>
  </si>
  <si>
    <t>52.06+-1.01</t>
  </si>
  <si>
    <t>No; 25</t>
  </si>
  <si>
    <t>0.234</t>
  </si>
  <si>
    <t>20220509g</t>
  </si>
  <si>
    <t>57.95+-1 (orginially used spline profile)</t>
  </si>
  <si>
    <t>0.0894</t>
  </si>
  <si>
    <t>20200906a</t>
  </si>
  <si>
    <t xml:space="preserve">okay </t>
  </si>
  <si>
    <t>60.57+-1.00</t>
  </si>
  <si>
    <t>try to reduce residuals</t>
  </si>
  <si>
    <t>0.3688</t>
  </si>
  <si>
    <t>20171020a</t>
  </si>
  <si>
    <t>66.05+-1.00</t>
  </si>
  <si>
    <t>No; 30</t>
  </si>
  <si>
    <t>0.00867</t>
  </si>
  <si>
    <t>20220207c</t>
  </si>
  <si>
    <t>74.67+-1.00</t>
  </si>
  <si>
    <t>0.043304</t>
  </si>
  <si>
    <t>20220506D</t>
  </si>
  <si>
    <t>log(SFFR)</t>
  </si>
  <si>
    <t>Range</t>
  </si>
  <si>
    <t>Mean</t>
  </si>
  <si>
    <t>SD</t>
  </si>
  <si>
    <t>i &lt; 45</t>
  </si>
  <si>
    <t>45&lt;i&lt;74</t>
  </si>
  <si>
    <t xml:space="preserve">20211212A and </t>
  </si>
  <si>
    <t>74&lt;i</t>
  </si>
  <si>
    <t>Sersic i</t>
  </si>
  <si>
    <t>Isophote i</t>
  </si>
  <si>
    <t>abs error</t>
  </si>
  <si>
    <t>abs error^2</t>
  </si>
  <si>
    <t>RMS</t>
  </si>
  <si>
    <t>3*RMS outlier</t>
  </si>
  <si>
    <t>2*RMS</t>
  </si>
  <si>
    <t>outlier_MAD</t>
  </si>
  <si>
    <t>AVG</t>
  </si>
  <si>
    <t>Median</t>
  </si>
  <si>
    <t>MAD</t>
  </si>
  <si>
    <t>2.5*MAD</t>
  </si>
  <si>
    <t>Median + 2.5*MAD</t>
  </si>
  <si>
    <t>Median - 2.5*MAD</t>
  </si>
  <si>
    <t>Bin1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</si>
</sst>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Calibri"/>
    </font>
    <font>
      <sz val="11.0"/>
      <color rgb="FF000000"/>
      <name val="Monospace"/>
    </font>
    <font>
      <sz val="11.0"/>
      <color theme="1"/>
      <name val="Calibri"/>
    </font>
    <font>
      <color rgb="FF374151"/>
      <name val="Arial"/>
    </font>
    <font>
      <sz val="11.0"/>
      <color theme="1"/>
      <name val="Arial"/>
    </font>
    <font>
      <sz val="11.0"/>
      <color theme="1"/>
      <name val="Docs-Calibri"/>
    </font>
    <font>
      <sz val="12.0"/>
      <color rgb="FF212529"/>
      <name val="Arial"/>
    </font>
    <font>
      <b/>
      <color rgb="FF000000"/>
      <name val="Arial"/>
    </font>
    <font>
      <sz val="11.0"/>
      <color rgb="FF1D1C1D"/>
      <name val="Slack-Lato"/>
    </font>
    <font>
      <sz val="9.0"/>
      <color rgb="FFFFFFFF"/>
      <name val="Menlo"/>
    </font>
    <font>
      <sz val="9.0"/>
      <color rgb="FF000000"/>
      <name val="&quot;Google Sans Mono&quot;"/>
    </font>
  </fonts>
  <fills count="12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7F7F8"/>
        <bgColor rgb="FFF7F7F8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8F8F8"/>
      </patternFill>
    </fill>
    <fill>
      <patternFill patternType="solid">
        <fgColor rgb="FF000000"/>
        <bgColor rgb="FF000000"/>
      </patternFill>
    </fill>
  </fills>
  <borders count="2">
    <border/>
    <border>
      <bottom style="thin">
        <color rgb="FFA9D08E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1" fillId="2" fontId="2" numFmtId="0" xfId="0" applyAlignment="1" applyBorder="1" applyFont="1">
      <alignment vertical="bottom"/>
    </xf>
    <xf borderId="0" fillId="2" fontId="1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" numFmtId="11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5" fontId="6" numFmtId="0" xfId="0" applyAlignment="1" applyFill="1" applyFont="1">
      <alignment readingOrder="0" vertical="bottom"/>
    </xf>
    <xf borderId="0" fillId="6" fontId="7" numFmtId="0" xfId="0" applyAlignment="1" applyFill="1" applyFont="1">
      <alignment horizontal="left" readingOrder="0" shrinkToFit="0" wrapText="1"/>
    </xf>
    <xf borderId="0" fillId="5" fontId="2" numFmtId="11" xfId="0" applyAlignment="1" applyFont="1" applyNumberFormat="1">
      <alignment readingOrder="0"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horizontal="right" vertical="bottom"/>
    </xf>
    <xf borderId="0" fillId="5" fontId="2" numFmtId="0" xfId="0" applyAlignment="1" applyFont="1">
      <alignment horizontal="right" readingOrder="0" vertical="bottom"/>
    </xf>
    <xf borderId="1" fillId="5" fontId="8" numFmtId="49" xfId="0" applyAlignment="1" applyBorder="1" applyFont="1" applyNumberFormat="1">
      <alignment horizontal="right" vertical="bottom"/>
    </xf>
    <xf borderId="0" fillId="3" fontId="7" numFmtId="0" xfId="0" applyAlignment="1" applyFont="1">
      <alignment horizontal="left" readingOrder="0" shrinkToFit="0" wrapText="1"/>
    </xf>
    <xf borderId="0" fillId="0" fontId="1" numFmtId="0" xfId="0" applyFont="1"/>
    <xf borderId="0" fillId="3" fontId="8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9" numFmtId="11" xfId="0" applyAlignment="1" applyFont="1" applyNumberFormat="1">
      <alignment readingOrder="0"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1" fillId="3" fontId="2" numFmtId="0" xfId="0" applyAlignment="1" applyBorder="1" applyFont="1">
      <alignment horizontal="right" vertical="bottom"/>
    </xf>
    <xf borderId="0" fillId="3" fontId="2" numFmtId="11" xfId="0" applyAlignment="1" applyFont="1" applyNumberFormat="1">
      <alignment readingOrder="0" vertical="bottom"/>
    </xf>
    <xf borderId="1" fillId="3" fontId="8" numFmtId="49" xfId="0" applyAlignment="1" applyBorder="1" applyFont="1" applyNumberFormat="1">
      <alignment horizontal="right" vertical="bottom"/>
    </xf>
    <xf borderId="0" fillId="5" fontId="8" numFmtId="0" xfId="0" applyAlignment="1" applyFont="1">
      <alignment readingOrder="0" vertical="bottom"/>
    </xf>
    <xf borderId="0" fillId="3" fontId="10" numFmtId="0" xfId="0" applyAlignment="1" applyFont="1">
      <alignment horizontal="right" shrinkToFit="0" vertical="bottom" wrapText="1"/>
    </xf>
    <xf borderId="0" fillId="3" fontId="11" numFmtId="0" xfId="0" applyAlignment="1" applyFont="1">
      <alignment vertical="bottom"/>
    </xf>
    <xf borderId="0" fillId="3" fontId="8" numFmtId="11" xfId="0" applyAlignment="1" applyFont="1" applyNumberFormat="1">
      <alignment readingOrder="0" vertical="bottom"/>
    </xf>
    <xf borderId="0" fillId="7" fontId="1" numFmtId="0" xfId="0" applyAlignment="1" applyFill="1" applyFont="1">
      <alignment readingOrder="0"/>
    </xf>
    <xf borderId="0" fillId="7" fontId="1" numFmtId="11" xfId="0" applyAlignment="1" applyFont="1" applyNumberFormat="1">
      <alignment readingOrder="0"/>
    </xf>
    <xf borderId="0" fillId="7" fontId="1" numFmtId="0" xfId="0" applyFont="1"/>
    <xf borderId="0" fillId="7" fontId="5" numFmtId="0" xfId="0" applyAlignment="1" applyFont="1">
      <alignment readingOrder="0"/>
    </xf>
    <xf borderId="0" fillId="7" fontId="8" numFmtId="0" xfId="0" applyAlignment="1" applyFont="1">
      <alignment readingOrder="0" vertical="bottom"/>
    </xf>
    <xf borderId="0" fillId="7" fontId="7" numFmtId="0" xfId="0" applyAlignment="1" applyFont="1">
      <alignment horizontal="left" readingOrder="0" shrinkToFit="0" wrapText="1"/>
    </xf>
    <xf borderId="0" fillId="7" fontId="2" numFmtId="11" xfId="0" applyAlignment="1" applyFont="1" applyNumberFormat="1">
      <alignment readingOrder="0" vertical="bottom"/>
    </xf>
    <xf borderId="0" fillId="7" fontId="2" numFmtId="0" xfId="0" applyAlignment="1" applyFont="1">
      <alignment readingOrder="0" vertical="bottom"/>
    </xf>
    <xf borderId="0" fillId="7" fontId="2" numFmtId="0" xfId="0" applyAlignment="1" applyFont="1">
      <alignment horizontal="right" vertical="bottom"/>
    </xf>
    <xf borderId="0" fillId="7" fontId="2" numFmtId="0" xfId="0" applyAlignment="1" applyFont="1">
      <alignment horizontal="right" readingOrder="0" vertical="bottom"/>
    </xf>
    <xf borderId="1" fillId="7" fontId="8" numFmtId="49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2" numFmtId="1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8" numFmtId="49" xfId="0" applyAlignment="1" applyBorder="1" applyFont="1" applyNumberFormat="1">
      <alignment horizontal="right" vertical="bottom"/>
    </xf>
    <xf borderId="0" fillId="0" fontId="7" numFmtId="0" xfId="0" applyAlignment="1" applyFont="1">
      <alignment horizontal="left" readingOrder="0" shrinkToFit="0" wrapText="1"/>
    </xf>
    <xf borderId="0" fillId="0" fontId="1" numFmtId="0" xfId="0" applyFont="1"/>
    <xf borderId="0" fillId="5" fontId="10" numFmtId="0" xfId="0" applyAlignment="1" applyFont="1">
      <alignment horizontal="right" shrinkToFit="0" vertical="bottom" wrapText="1"/>
    </xf>
    <xf borderId="0" fillId="8" fontId="9" numFmtId="11" xfId="0" applyAlignment="1" applyFill="1" applyFont="1" applyNumberFormat="1">
      <alignment readingOrder="0" vertical="bottom"/>
    </xf>
    <xf borderId="1" fillId="3" fontId="8" numFmtId="0" xfId="0" applyAlignment="1" applyBorder="1" applyFont="1">
      <alignment horizontal="right" readingOrder="0" vertical="bottom"/>
    </xf>
    <xf borderId="0" fillId="5" fontId="9" numFmtId="11" xfId="0" applyAlignment="1" applyFont="1" applyNumberFormat="1">
      <alignment readingOrder="0" vertical="bottom"/>
    </xf>
    <xf borderId="0" fillId="3" fontId="12" numFmtId="0" xfId="0" applyAlignment="1" applyFont="1">
      <alignment horizontal="left" readingOrder="0" shrinkToFit="0" wrapText="0"/>
    </xf>
    <xf borderId="0" fillId="5" fontId="11" numFmtId="0" xfId="0" applyAlignment="1" applyFont="1">
      <alignment vertical="bottom"/>
    </xf>
    <xf borderId="0" fillId="5" fontId="8" numFmtId="11" xfId="0" applyAlignment="1" applyFont="1" applyNumberFormat="1">
      <alignment readingOrder="0" vertical="bottom"/>
    </xf>
    <xf borderId="0" fillId="7" fontId="6" numFmtId="0" xfId="0" applyAlignment="1" applyFont="1">
      <alignment readingOrder="0" vertical="bottom"/>
    </xf>
    <xf borderId="0" fillId="9" fontId="1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3" fontId="13" numFmtId="0" xfId="0" applyAlignment="1" applyFont="1">
      <alignment horizontal="right" readingOrder="0"/>
    </xf>
    <xf borderId="0" fillId="10" fontId="14" numFmtId="0" xfId="0" applyAlignment="1" applyFill="1" applyFont="1">
      <alignment horizontal="left" readingOrder="0"/>
    </xf>
    <xf borderId="0" fillId="0" fontId="1" numFmtId="49" xfId="0" applyFont="1" applyNumberFormat="1"/>
    <xf borderId="0" fillId="11" fontId="15" numFmtId="0" xfId="0" applyAlignment="1" applyFill="1" applyFont="1">
      <alignment readingOrder="0"/>
    </xf>
    <xf borderId="0" fillId="3" fontId="16" numFmtId="0" xfId="0" applyFont="1"/>
    <xf borderId="0" fillId="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9.88"/>
    <col customWidth="1" min="3" max="3" width="11.25"/>
    <col customWidth="1" min="4" max="4" width="16.75"/>
    <col customWidth="1" min="5" max="5" width="8.5"/>
    <col customWidth="1" min="6" max="6" width="14.88"/>
    <col customWidth="1" min="7" max="7" width="16.38"/>
    <col customWidth="1" min="8" max="8" width="14.5"/>
    <col customWidth="1" min="9" max="9" width="16.25"/>
    <col customWidth="1" min="10" max="10" width="9.13"/>
    <col customWidth="1" min="11" max="11" width="7.63"/>
    <col customWidth="1" min="12" max="12" width="5.13"/>
    <col customWidth="1" min="13" max="13" width="15.0"/>
    <col customWidth="1" min="14" max="14" width="18.75"/>
    <col customWidth="1" min="18" max="18" width="14.63"/>
    <col customWidth="1" min="29" max="29" width="13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M1" s="1" t="s">
        <v>9</v>
      </c>
      <c r="N1" s="1" t="s">
        <v>10</v>
      </c>
      <c r="O1" s="1" t="s">
        <v>11</v>
      </c>
      <c r="P1" s="2" t="s">
        <v>12</v>
      </c>
      <c r="Q1" s="2" t="s">
        <v>13</v>
      </c>
      <c r="R1" s="3" t="s">
        <v>14</v>
      </c>
      <c r="S1" s="3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3" t="s">
        <v>20</v>
      </c>
      <c r="Y1" s="4" t="s">
        <v>21</v>
      </c>
      <c r="Z1" s="5" t="s">
        <v>22</v>
      </c>
      <c r="AA1" s="5" t="s">
        <v>23</v>
      </c>
      <c r="AB1" s="5" t="s">
        <v>24</v>
      </c>
      <c r="AC1" s="3" t="s">
        <v>25</v>
      </c>
      <c r="AD1" s="1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</row>
    <row r="2">
      <c r="A2" s="7" t="s">
        <v>35</v>
      </c>
      <c r="B2" s="8">
        <v>13.09</v>
      </c>
      <c r="C2" s="1">
        <v>1.02</v>
      </c>
      <c r="D2" s="9">
        <v>7.16E-9</v>
      </c>
      <c r="F2" s="1" t="s">
        <v>36</v>
      </c>
      <c r="G2" s="1" t="s">
        <v>37</v>
      </c>
      <c r="H2" s="1" t="s">
        <v>38</v>
      </c>
      <c r="I2" s="1" t="s">
        <v>39</v>
      </c>
      <c r="M2" s="1" t="b">
        <v>1</v>
      </c>
      <c r="N2" s="1">
        <v>1.6039</v>
      </c>
      <c r="O2" s="1">
        <v>0.86</v>
      </c>
      <c r="P2" s="10">
        <v>-8.557997665</v>
      </c>
      <c r="Q2" s="11">
        <v>15.91</v>
      </c>
      <c r="R2" s="12">
        <v>0.6</v>
      </c>
      <c r="S2" s="11">
        <v>9.76</v>
      </c>
      <c r="T2" s="13">
        <v>5.75E9</v>
      </c>
      <c r="U2" s="14">
        <v>636.2</v>
      </c>
      <c r="V2" s="15">
        <v>204.565260359076</v>
      </c>
      <c r="W2" s="15">
        <v>-31.3791066801824</v>
      </c>
      <c r="X2" s="16" t="s">
        <v>40</v>
      </c>
      <c r="Y2" s="17" t="s">
        <v>41</v>
      </c>
      <c r="Z2" s="1">
        <v>0.9934</v>
      </c>
      <c r="AA2" s="1">
        <v>14.38</v>
      </c>
      <c r="AB2" s="15">
        <f t="shared" ref="AB2:AB26" si="1">DEGREES(ACOS(SQRT((Z2*Z2-0.05^2)/(1-0.05^2))))</f>
        <v>6.594694891</v>
      </c>
      <c r="AC2" s="15">
        <f t="shared" ref="AC2:AC26" si="2">DEGREES(ACOS(SQRT((Z2*Z2-0.2^2)/(1-0.2^2))))</f>
        <v>6.722846683</v>
      </c>
      <c r="AD2" s="18">
        <v>48.0</v>
      </c>
      <c r="AE2" s="18">
        <v>63.0</v>
      </c>
      <c r="AF2" s="19">
        <f t="shared" ref="AF2:AF26" si="3">round((Y2+1)*(U2-AD2-(855*Y2)),0)</f>
        <v>395</v>
      </c>
      <c r="AG2" s="19">
        <f t="shared" ref="AG2:AG26" si="4">round((1+Y2)*(U2-AE2-855*Y2),0)</f>
        <v>375</v>
      </c>
      <c r="AH2" s="1">
        <v>19.64</v>
      </c>
      <c r="AI2" s="1"/>
      <c r="AJ2" s="1"/>
      <c r="AK2" s="1"/>
      <c r="AL2" s="1"/>
    </row>
    <row r="3">
      <c r="A3" s="7" t="s">
        <v>42</v>
      </c>
      <c r="B3" s="1">
        <v>22.31</v>
      </c>
      <c r="C3" s="1">
        <v>1.01</v>
      </c>
      <c r="D3" s="9">
        <v>2.32E-8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M3" s="1" t="b">
        <v>1</v>
      </c>
      <c r="N3" s="1">
        <v>8.66</v>
      </c>
      <c r="O3" s="1">
        <v>0.58</v>
      </c>
      <c r="P3" s="10">
        <v>-7.925760135</v>
      </c>
      <c r="Q3" s="20">
        <v>35.83</v>
      </c>
      <c r="R3" s="12">
        <v>0.4</v>
      </c>
      <c r="S3" s="21">
        <v>9.48</v>
      </c>
      <c r="T3" s="22">
        <v>3.02E9</v>
      </c>
      <c r="U3" s="23">
        <v>234.83</v>
      </c>
      <c r="V3" s="24">
        <v>199.808176085586</v>
      </c>
      <c r="W3" s="24">
        <v>-18.8380065058089</v>
      </c>
      <c r="X3" s="25" t="s">
        <v>40</v>
      </c>
      <c r="Y3" s="26">
        <v>0.0469</v>
      </c>
      <c r="Z3" s="1">
        <v>0.9335</v>
      </c>
      <c r="AA3" s="1">
        <v>23.1</v>
      </c>
      <c r="AB3" s="15">
        <f t="shared" si="1"/>
        <v>21.04041972</v>
      </c>
      <c r="AC3" s="15">
        <f t="shared" si="2"/>
        <v>21.46738417</v>
      </c>
      <c r="AD3" s="18">
        <v>31.0</v>
      </c>
      <c r="AE3" s="18">
        <v>42.0</v>
      </c>
      <c r="AF3" s="19">
        <f t="shared" si="3"/>
        <v>171</v>
      </c>
      <c r="AG3" s="19">
        <f t="shared" si="4"/>
        <v>160</v>
      </c>
      <c r="AH3" s="1">
        <v>14.97</v>
      </c>
      <c r="AI3" s="1"/>
      <c r="AJ3" s="1"/>
      <c r="AK3" s="1"/>
      <c r="AL3" s="1"/>
    </row>
    <row r="4">
      <c r="A4" s="1" t="s">
        <v>49</v>
      </c>
      <c r="B4" s="1">
        <v>24.45</v>
      </c>
      <c r="C4" s="1">
        <v>1.01</v>
      </c>
      <c r="D4" s="1">
        <v>8.0E-6</v>
      </c>
      <c r="F4" s="1" t="s">
        <v>50</v>
      </c>
      <c r="M4" s="1" t="b">
        <v>1</v>
      </c>
      <c r="N4" s="1">
        <v>2.9E-4</v>
      </c>
      <c r="O4" s="1">
        <v>0.36</v>
      </c>
      <c r="P4" s="10">
        <v>-10.8617437</v>
      </c>
      <c r="Q4" s="20">
        <v>1.17</v>
      </c>
      <c r="R4" s="18">
        <v>4.7</v>
      </c>
      <c r="S4" s="20">
        <v>9.93</v>
      </c>
      <c r="T4" s="27">
        <v>8.51E10</v>
      </c>
      <c r="U4" s="23">
        <v>110.95</v>
      </c>
      <c r="V4" s="24">
        <v>311.867830909936</v>
      </c>
      <c r="W4" s="24">
        <v>72.5534221316295</v>
      </c>
      <c r="X4" s="25" t="s">
        <v>40</v>
      </c>
      <c r="Y4" s="28" t="s">
        <v>51</v>
      </c>
      <c r="Z4" s="1">
        <v>0.9103</v>
      </c>
      <c r="AA4" s="1">
        <v>36.92</v>
      </c>
      <c r="AB4" s="15">
        <f t="shared" si="1"/>
        <v>24.48579145</v>
      </c>
      <c r="AC4" s="15">
        <f t="shared" si="2"/>
        <v>24.99158169</v>
      </c>
      <c r="AD4" s="18">
        <v>86.0</v>
      </c>
      <c r="AE4" s="18">
        <v>78.0</v>
      </c>
      <c r="AF4" s="19">
        <f t="shared" si="3"/>
        <v>16</v>
      </c>
      <c r="AG4" s="19">
        <f t="shared" si="4"/>
        <v>24</v>
      </c>
      <c r="AH4" s="1">
        <v>13.29</v>
      </c>
      <c r="AI4" s="1">
        <v>15.3872003555297</v>
      </c>
      <c r="AJ4" s="1">
        <v>0.00253099994733929</v>
      </c>
      <c r="AK4" s="1"/>
      <c r="AL4" s="1"/>
    </row>
    <row r="5">
      <c r="A5" s="1" t="s">
        <v>52</v>
      </c>
      <c r="B5" s="1">
        <v>26.26</v>
      </c>
      <c r="C5" s="1">
        <v>1.01</v>
      </c>
      <c r="D5" s="9">
        <v>7.74E-9</v>
      </c>
      <c r="F5" s="1" t="s">
        <v>53</v>
      </c>
      <c r="G5" s="1" t="s">
        <v>37</v>
      </c>
      <c r="H5" s="1" t="s">
        <v>54</v>
      </c>
      <c r="I5" s="1" t="s">
        <v>55</v>
      </c>
      <c r="M5" s="1" t="b">
        <v>1</v>
      </c>
      <c r="N5" s="1">
        <v>2.26</v>
      </c>
      <c r="O5" s="1">
        <v>0.68</v>
      </c>
      <c r="P5" s="10">
        <v>-11.25896865</v>
      </c>
      <c r="Q5" s="29">
        <v>0.39</v>
      </c>
      <c r="R5" s="18">
        <v>4.1</v>
      </c>
      <c r="S5" s="29">
        <v>10.85</v>
      </c>
      <c r="T5" s="13">
        <v>7.08E10</v>
      </c>
      <c r="U5" s="14">
        <v>314.977</v>
      </c>
      <c r="V5" s="15">
        <v>240.25679384725</v>
      </c>
      <c r="W5" s="15">
        <v>70.9180072111693</v>
      </c>
      <c r="X5" s="16" t="s">
        <v>40</v>
      </c>
      <c r="Y5" s="17" t="s">
        <v>56</v>
      </c>
      <c r="Z5" s="1">
        <v>0.8968</v>
      </c>
      <c r="AA5" s="1">
        <v>29.06</v>
      </c>
      <c r="AB5" s="15">
        <f t="shared" si="1"/>
        <v>26.29482702</v>
      </c>
      <c r="AC5" s="15">
        <f t="shared" si="2"/>
        <v>26.84378523</v>
      </c>
      <c r="AD5" s="18">
        <v>33.0</v>
      </c>
      <c r="AE5" s="18">
        <v>39.0</v>
      </c>
      <c r="AF5" s="19">
        <f t="shared" si="3"/>
        <v>170</v>
      </c>
      <c r="AG5" s="19">
        <f t="shared" si="4"/>
        <v>163</v>
      </c>
      <c r="AH5" s="1">
        <v>17.98</v>
      </c>
      <c r="AI5" s="1">
        <v>18.1569004058837</v>
      </c>
      <c r="AJ5" s="1">
        <v>0.00691600004211068</v>
      </c>
      <c r="AK5" s="1"/>
      <c r="AL5" s="1"/>
    </row>
    <row r="6">
      <c r="A6" s="7" t="s">
        <v>57</v>
      </c>
      <c r="B6" s="1">
        <v>27.09</v>
      </c>
      <c r="C6" s="1">
        <v>1.01</v>
      </c>
      <c r="D6" s="9">
        <v>7.74E-9</v>
      </c>
      <c r="F6" s="1" t="s">
        <v>58</v>
      </c>
      <c r="G6" s="1" t="s">
        <v>38</v>
      </c>
      <c r="H6" s="1" t="s">
        <v>54</v>
      </c>
      <c r="I6" s="1" t="s">
        <v>38</v>
      </c>
      <c r="M6" s="1" t="b">
        <v>1</v>
      </c>
      <c r="N6" s="1">
        <v>1.6039</v>
      </c>
      <c r="O6" s="1">
        <v>0.86</v>
      </c>
      <c r="P6" s="10">
        <v>-9.820180868</v>
      </c>
      <c r="Q6" s="21">
        <v>3.51</v>
      </c>
      <c r="R6" s="12">
        <v>1.7</v>
      </c>
      <c r="S6" s="21">
        <v>10.37</v>
      </c>
      <c r="T6" s="27">
        <v>2.32E10</v>
      </c>
      <c r="U6" s="23">
        <v>384.8</v>
      </c>
      <c r="V6" s="30">
        <v>204.458854</v>
      </c>
      <c r="W6" s="24">
        <v>-16.122552</v>
      </c>
      <c r="X6" s="25" t="s">
        <v>40</v>
      </c>
      <c r="Y6" s="28" t="s">
        <v>59</v>
      </c>
      <c r="Z6" s="1">
        <v>0.8887</v>
      </c>
      <c r="AA6" s="1">
        <v>27.16</v>
      </c>
      <c r="AB6" s="15">
        <f t="shared" si="1"/>
        <v>27.32668359</v>
      </c>
      <c r="AC6" s="15">
        <f t="shared" si="2"/>
        <v>27.90088984</v>
      </c>
      <c r="AD6" s="18">
        <v>30.0</v>
      </c>
      <c r="AE6" s="18">
        <v>39.0</v>
      </c>
      <c r="AF6" s="19">
        <f t="shared" si="3"/>
        <v>148</v>
      </c>
      <c r="AG6" s="19">
        <f t="shared" si="4"/>
        <v>136</v>
      </c>
      <c r="AH6" s="1">
        <v>19.47</v>
      </c>
      <c r="AI6" s="1"/>
      <c r="AJ6" s="1"/>
      <c r="AK6" s="1"/>
      <c r="AL6" s="1"/>
    </row>
    <row r="7">
      <c r="A7" s="1" t="s">
        <v>60</v>
      </c>
      <c r="B7" s="1">
        <v>32.46</v>
      </c>
      <c r="C7" s="1">
        <v>1.01</v>
      </c>
      <c r="D7" s="1">
        <v>4.5E-4</v>
      </c>
      <c r="F7" s="1" t="s">
        <v>61</v>
      </c>
      <c r="G7" s="1" t="s">
        <v>37</v>
      </c>
      <c r="H7" s="1" t="s">
        <v>37</v>
      </c>
      <c r="I7" s="1" t="s">
        <v>62</v>
      </c>
      <c r="M7" s="1" t="b">
        <v>1</v>
      </c>
      <c r="N7" s="1">
        <v>3.3993</v>
      </c>
      <c r="O7" s="1">
        <v>0.99</v>
      </c>
      <c r="P7" s="10">
        <v>-10.41771051</v>
      </c>
      <c r="Q7" s="20">
        <v>0.73</v>
      </c>
      <c r="R7" s="18">
        <v>1.5</v>
      </c>
      <c r="S7" s="21">
        <v>10.28</v>
      </c>
      <c r="T7" s="27">
        <v>1.91E10</v>
      </c>
      <c r="U7" s="23">
        <v>206.0</v>
      </c>
      <c r="V7" s="24">
        <v>157.350941401671</v>
      </c>
      <c r="W7" s="24">
        <v>1.36088942102641</v>
      </c>
      <c r="X7" s="25" t="s">
        <v>38</v>
      </c>
      <c r="Y7" s="28" t="s">
        <v>63</v>
      </c>
      <c r="Z7" s="1">
        <v>0.8437</v>
      </c>
      <c r="AA7" s="1">
        <v>34.53</v>
      </c>
      <c r="AB7" s="15">
        <f t="shared" si="1"/>
        <v>32.51274817</v>
      </c>
      <c r="AC7" s="15">
        <f t="shared" si="2"/>
        <v>33.22200034</v>
      </c>
      <c r="AD7" s="18">
        <v>27.0</v>
      </c>
      <c r="AE7" s="18">
        <v>38.0</v>
      </c>
      <c r="AF7" s="19">
        <f t="shared" si="3"/>
        <v>127</v>
      </c>
      <c r="AG7" s="19">
        <f t="shared" si="4"/>
        <v>115</v>
      </c>
      <c r="AH7" s="1">
        <v>16.44</v>
      </c>
      <c r="AI7" s="1"/>
      <c r="AJ7" s="1"/>
      <c r="AK7" s="1"/>
      <c r="AL7" s="1"/>
    </row>
    <row r="8">
      <c r="A8" s="1" t="s">
        <v>64</v>
      </c>
      <c r="B8" s="1">
        <v>33.59</v>
      </c>
      <c r="C8" s="1">
        <v>1.01</v>
      </c>
      <c r="D8" s="9">
        <v>1.2E-8</v>
      </c>
      <c r="F8" s="1" t="s">
        <v>65</v>
      </c>
      <c r="G8" s="1" t="s">
        <v>37</v>
      </c>
      <c r="H8" s="1" t="s">
        <v>66</v>
      </c>
      <c r="I8" s="1" t="s">
        <v>55</v>
      </c>
      <c r="M8" s="1" t="b">
        <v>1</v>
      </c>
      <c r="N8" s="1">
        <v>1.09</v>
      </c>
      <c r="O8" s="1">
        <v>0.89</v>
      </c>
      <c r="P8" s="10">
        <v>-10.17609126</v>
      </c>
      <c r="Q8" s="20">
        <v>0.88</v>
      </c>
      <c r="R8" s="18">
        <v>1.1</v>
      </c>
      <c r="S8" s="31"/>
      <c r="T8" s="32">
        <v>1.32E10</v>
      </c>
      <c r="U8" s="23">
        <v>362.4</v>
      </c>
      <c r="V8" s="24">
        <v>326.105235868384</v>
      </c>
      <c r="W8" s="24">
        <v>-40.9002526146074</v>
      </c>
      <c r="X8" s="25" t="s">
        <v>40</v>
      </c>
      <c r="Y8" s="28" t="s">
        <v>67</v>
      </c>
      <c r="Z8" s="1">
        <v>0.8322</v>
      </c>
      <c r="AA8" s="1">
        <v>36.92</v>
      </c>
      <c r="AB8" s="15">
        <f t="shared" si="1"/>
        <v>33.72242261</v>
      </c>
      <c r="AC8" s="15">
        <f t="shared" si="2"/>
        <v>34.46545586</v>
      </c>
      <c r="AD8" s="18">
        <v>27.0</v>
      </c>
      <c r="AE8" s="18">
        <v>40.0</v>
      </c>
      <c r="AF8" s="19">
        <f t="shared" si="3"/>
        <v>80</v>
      </c>
      <c r="AG8" s="19">
        <f t="shared" si="4"/>
        <v>63</v>
      </c>
      <c r="AH8" s="1">
        <v>20.33</v>
      </c>
      <c r="AI8" s="1"/>
      <c r="AJ8" s="1"/>
      <c r="AK8" s="1"/>
      <c r="AL8" s="1"/>
    </row>
    <row r="9">
      <c r="A9" s="33" t="s">
        <v>68</v>
      </c>
      <c r="B9" s="33">
        <v>34.18</v>
      </c>
      <c r="C9" s="33">
        <v>1.01</v>
      </c>
      <c r="D9" s="34">
        <v>6.96E-8</v>
      </c>
      <c r="E9" s="35"/>
      <c r="F9" s="33" t="s">
        <v>69</v>
      </c>
      <c r="G9" s="33" t="s">
        <v>37</v>
      </c>
      <c r="H9" s="33" t="s">
        <v>39</v>
      </c>
      <c r="I9" s="33" t="s">
        <v>37</v>
      </c>
      <c r="J9" s="35"/>
      <c r="K9" s="35"/>
      <c r="L9" s="35"/>
      <c r="M9" s="33" t="b">
        <v>1</v>
      </c>
      <c r="N9" s="33">
        <v>1.5431</v>
      </c>
      <c r="O9" s="33">
        <v>0.48</v>
      </c>
      <c r="P9" s="36">
        <v>-11.26174497</v>
      </c>
      <c r="Q9" s="37">
        <v>0.37</v>
      </c>
      <c r="R9" s="38">
        <v>3.9</v>
      </c>
      <c r="S9" s="37">
        <v>10.83</v>
      </c>
      <c r="T9" s="39">
        <v>6.76E10</v>
      </c>
      <c r="U9" s="40">
        <v>623.25</v>
      </c>
      <c r="V9" s="41">
        <v>219.106601166608</v>
      </c>
      <c r="W9" s="41">
        <v>70.0954310436521</v>
      </c>
      <c r="X9" s="42" t="s">
        <v>40</v>
      </c>
      <c r="Y9" s="43" t="s">
        <v>70</v>
      </c>
      <c r="Z9" s="33">
        <v>0.8288</v>
      </c>
      <c r="AA9" s="33">
        <v>31.83</v>
      </c>
      <c r="AB9" s="41">
        <f t="shared" si="1"/>
        <v>34.07279147</v>
      </c>
      <c r="AC9" s="41">
        <f t="shared" si="2"/>
        <v>34.82579387</v>
      </c>
      <c r="AD9" s="38">
        <v>29.0</v>
      </c>
      <c r="AE9" s="38">
        <v>36.0</v>
      </c>
      <c r="AF9" s="19">
        <f t="shared" si="3"/>
        <v>102</v>
      </c>
      <c r="AG9" s="19">
        <f t="shared" si="4"/>
        <v>91</v>
      </c>
      <c r="AH9" s="33">
        <v>19.35</v>
      </c>
      <c r="AI9" s="33">
        <v>21.3101997375488</v>
      </c>
      <c r="AJ9" s="33">
        <v>0.283834993839263</v>
      </c>
      <c r="AK9" s="33"/>
      <c r="AL9" s="33"/>
    </row>
    <row r="10">
      <c r="A10" s="1" t="s">
        <v>71</v>
      </c>
      <c r="B10" s="1">
        <v>35.65</v>
      </c>
      <c r="C10" s="1">
        <v>1.01</v>
      </c>
      <c r="D10" s="9">
        <v>2.32E-8</v>
      </c>
      <c r="F10" s="1" t="s">
        <v>72</v>
      </c>
      <c r="G10" s="1" t="s">
        <v>37</v>
      </c>
      <c r="H10" s="1" t="s">
        <v>73</v>
      </c>
      <c r="I10" s="1" t="s">
        <v>37</v>
      </c>
      <c r="M10" s="1" t="b">
        <v>1</v>
      </c>
      <c r="N10" s="1">
        <v>1.6242</v>
      </c>
      <c r="O10" s="1">
        <v>0.73</v>
      </c>
      <c r="P10" s="10">
        <v>-11.57364506</v>
      </c>
      <c r="Q10" s="44">
        <v>0.15</v>
      </c>
      <c r="R10" s="18">
        <v>3.4</v>
      </c>
      <c r="S10" s="44">
        <v>10.75</v>
      </c>
      <c r="T10" s="45">
        <v>5.62E10</v>
      </c>
      <c r="U10" s="46">
        <v>462.24</v>
      </c>
      <c r="V10" s="47">
        <v>134.72115983246</v>
      </c>
      <c r="W10" s="47">
        <v>73.491023493673</v>
      </c>
      <c r="X10" s="48" t="s">
        <v>40</v>
      </c>
      <c r="Y10" s="49" t="s">
        <v>74</v>
      </c>
      <c r="Z10" s="1">
        <v>0.7922</v>
      </c>
      <c r="AA10" s="1">
        <v>40.96</v>
      </c>
      <c r="AB10" s="15">
        <f t="shared" si="1"/>
        <v>37.66371277</v>
      </c>
      <c r="AC10" s="15">
        <f t="shared" si="2"/>
        <v>38.52423338</v>
      </c>
      <c r="AD10" s="50">
        <v>39.0</v>
      </c>
      <c r="AE10" s="50">
        <v>46.0</v>
      </c>
      <c r="AF10" s="19">
        <f t="shared" si="3"/>
        <v>22</v>
      </c>
      <c r="AG10" s="19">
        <f t="shared" si="4"/>
        <v>11</v>
      </c>
      <c r="AH10" s="1">
        <v>20.35</v>
      </c>
      <c r="AI10" s="1">
        <v>20.7187004089355</v>
      </c>
      <c r="AJ10" s="1">
        <v>0.0577370002865791</v>
      </c>
      <c r="AK10" s="1"/>
      <c r="AL10" s="1"/>
    </row>
    <row r="11">
      <c r="A11" s="1" t="s">
        <v>75</v>
      </c>
      <c r="B11" s="1">
        <v>35.95</v>
      </c>
      <c r="C11" s="1">
        <v>1.01</v>
      </c>
      <c r="D11" s="9">
        <v>3.98E-9</v>
      </c>
      <c r="F11" s="1" t="s">
        <v>76</v>
      </c>
      <c r="G11" s="1" t="s">
        <v>77</v>
      </c>
      <c r="H11" s="1" t="s">
        <v>78</v>
      </c>
      <c r="I11" s="1" t="s">
        <v>55</v>
      </c>
      <c r="M11" s="1" t="b">
        <v>1</v>
      </c>
      <c r="N11" s="1">
        <v>1.78</v>
      </c>
      <c r="O11" s="1">
        <v>1.0</v>
      </c>
      <c r="P11" s="10">
        <v>-10.2256089</v>
      </c>
      <c r="Q11" s="20">
        <v>0.69</v>
      </c>
      <c r="R11" s="18">
        <v>1.0</v>
      </c>
      <c r="S11" s="31"/>
      <c r="T11" s="32">
        <v>1.16E10</v>
      </c>
      <c r="U11" s="23">
        <v>339.79</v>
      </c>
      <c r="V11" s="24">
        <v>334.02040578312</v>
      </c>
      <c r="W11" s="24">
        <v>-7.89886810526581</v>
      </c>
      <c r="X11" s="25" t="s">
        <v>38</v>
      </c>
      <c r="Y11" s="28" t="s">
        <v>79</v>
      </c>
      <c r="Z11" s="1">
        <v>0.8095</v>
      </c>
      <c r="AA11" s="1">
        <v>35.88</v>
      </c>
      <c r="AB11" s="15">
        <f t="shared" si="1"/>
        <v>36.00495083</v>
      </c>
      <c r="AC11" s="15">
        <f t="shared" si="2"/>
        <v>36.81453526</v>
      </c>
      <c r="AD11" s="18">
        <v>26.0</v>
      </c>
      <c r="AE11" s="18">
        <v>37.0</v>
      </c>
      <c r="AF11" s="19">
        <f t="shared" si="3"/>
        <v>238</v>
      </c>
      <c r="AG11" s="19">
        <f t="shared" si="4"/>
        <v>226</v>
      </c>
      <c r="AH11" s="1">
        <v>17.41</v>
      </c>
      <c r="AI11" s="51"/>
      <c r="AJ11" s="51"/>
      <c r="AK11" s="51"/>
      <c r="AL11" s="51"/>
    </row>
    <row r="12">
      <c r="A12" s="1" t="s">
        <v>80</v>
      </c>
      <c r="B12" s="1">
        <v>40.26</v>
      </c>
      <c r="C12" s="1">
        <v>1.01</v>
      </c>
      <c r="D12" s="9">
        <v>5.93E-6</v>
      </c>
      <c r="F12" s="1" t="s">
        <v>81</v>
      </c>
      <c r="M12" s="1" t="b">
        <v>1</v>
      </c>
      <c r="N12" s="7">
        <v>57.35</v>
      </c>
      <c r="O12" s="1">
        <v>0.1</v>
      </c>
      <c r="P12" s="10">
        <v>-11.16065429</v>
      </c>
      <c r="Q12" s="29">
        <v>0.63</v>
      </c>
      <c r="R12" s="18">
        <v>4.9</v>
      </c>
      <c r="S12" s="11">
        <v>10.97</v>
      </c>
      <c r="T12" s="13">
        <v>9.12E10</v>
      </c>
      <c r="U12" s="14">
        <v>251.9</v>
      </c>
      <c r="V12" s="52">
        <v>310.19767916805</v>
      </c>
      <c r="W12" s="15">
        <v>72.8826580623927</v>
      </c>
      <c r="X12" s="16" t="s">
        <v>40</v>
      </c>
      <c r="Y12" s="17" t="s">
        <v>82</v>
      </c>
      <c r="Z12" s="1">
        <v>0.7631</v>
      </c>
      <c r="AA12" s="1">
        <v>41.47</v>
      </c>
      <c r="AB12" s="15">
        <f t="shared" si="1"/>
        <v>40.32254256</v>
      </c>
      <c r="AC12" s="15">
        <f t="shared" si="2"/>
        <v>41.26992239</v>
      </c>
      <c r="AD12" s="18">
        <v>83.0</v>
      </c>
      <c r="AE12" s="18">
        <v>76.0</v>
      </c>
      <c r="AF12" s="19">
        <f t="shared" si="3"/>
        <v>66</v>
      </c>
      <c r="AG12" s="19">
        <f t="shared" si="4"/>
        <v>74</v>
      </c>
      <c r="AH12" s="1">
        <v>17.17</v>
      </c>
      <c r="AI12" s="1"/>
      <c r="AJ12" s="1"/>
      <c r="AK12" s="1"/>
      <c r="AL12" s="1"/>
    </row>
    <row r="13">
      <c r="A13" s="1" t="s">
        <v>83</v>
      </c>
      <c r="B13" s="1">
        <v>40.8</v>
      </c>
      <c r="C13" s="1">
        <v>1.01</v>
      </c>
      <c r="D13" s="9">
        <v>2.58E-9</v>
      </c>
      <c r="E13" s="1" t="s">
        <v>43</v>
      </c>
      <c r="F13" s="1" t="s">
        <v>84</v>
      </c>
      <c r="G13" s="1" t="s">
        <v>37</v>
      </c>
      <c r="H13" s="1" t="s">
        <v>39</v>
      </c>
      <c r="I13" s="1" t="s">
        <v>85</v>
      </c>
      <c r="J13" s="1" t="s">
        <v>86</v>
      </c>
      <c r="M13" s="1" t="b">
        <v>1</v>
      </c>
      <c r="N13" s="1">
        <v>1.3069</v>
      </c>
      <c r="O13" s="1">
        <v>0.7</v>
      </c>
      <c r="P13" s="10">
        <v>-10.99122608</v>
      </c>
      <c r="Q13" s="29">
        <v>0.03</v>
      </c>
      <c r="R13" s="18">
        <v>0.4</v>
      </c>
      <c r="S13" s="11">
        <v>9.47</v>
      </c>
      <c r="T13" s="13">
        <v>2.94E9</v>
      </c>
      <c r="U13" s="14">
        <v>572.65</v>
      </c>
      <c r="V13" s="15">
        <v>326.087266796551</v>
      </c>
      <c r="W13" s="15">
        <v>-79.3180613840662</v>
      </c>
      <c r="X13" s="16" t="s">
        <v>40</v>
      </c>
      <c r="Y13" s="17" t="s">
        <v>87</v>
      </c>
      <c r="Z13" s="1">
        <v>0.765</v>
      </c>
      <c r="AA13" s="1">
        <v>42.0</v>
      </c>
      <c r="AB13" s="15">
        <f t="shared" si="1"/>
        <v>40.15344259</v>
      </c>
      <c r="AC13" s="15">
        <f t="shared" si="2"/>
        <v>41.09508883</v>
      </c>
      <c r="AD13" s="18">
        <v>42.0</v>
      </c>
      <c r="AE13" s="18">
        <v>56.0</v>
      </c>
      <c r="AF13" s="19">
        <f t="shared" si="3"/>
        <v>468</v>
      </c>
      <c r="AG13" s="19">
        <f t="shared" si="4"/>
        <v>452</v>
      </c>
      <c r="AH13" s="1">
        <v>20.65</v>
      </c>
      <c r="AI13" s="1"/>
      <c r="AJ13" s="1"/>
      <c r="AK13" s="1"/>
      <c r="AL13" s="1"/>
    </row>
    <row r="14">
      <c r="A14" s="7" t="s">
        <v>88</v>
      </c>
      <c r="B14" s="1">
        <v>41.8</v>
      </c>
      <c r="C14" s="1">
        <v>1.01</v>
      </c>
      <c r="D14" s="9">
        <v>2.32E-8</v>
      </c>
      <c r="F14" s="1" t="s">
        <v>89</v>
      </c>
      <c r="G14" s="1" t="s">
        <v>37</v>
      </c>
      <c r="H14" s="1" t="s">
        <v>90</v>
      </c>
      <c r="I14" s="1" t="s">
        <v>55</v>
      </c>
      <c r="J14" s="1" t="s">
        <v>91</v>
      </c>
      <c r="M14" s="1" t="b">
        <v>1</v>
      </c>
      <c r="N14" s="1">
        <v>1.46</v>
      </c>
      <c r="P14" s="10">
        <v>-9.828526561</v>
      </c>
      <c r="Q14" s="20">
        <v>1.45</v>
      </c>
      <c r="R14" s="12">
        <v>0.9</v>
      </c>
      <c r="S14" s="20">
        <v>9.99</v>
      </c>
      <c r="T14" s="53">
        <v>9.77E9</v>
      </c>
      <c r="U14" s="23">
        <v>219.46</v>
      </c>
      <c r="V14" s="30">
        <v>347.270174036462</v>
      </c>
      <c r="W14" s="24">
        <v>48.7066182681479</v>
      </c>
      <c r="X14" s="25" t="s">
        <v>40</v>
      </c>
      <c r="Y14" s="54">
        <v>0.077</v>
      </c>
      <c r="Z14" s="1">
        <v>0.7421</v>
      </c>
      <c r="AA14" s="1">
        <v>45.6</v>
      </c>
      <c r="AB14" s="15">
        <f t="shared" si="1"/>
        <v>42.15423207</v>
      </c>
      <c r="AC14" s="15">
        <f t="shared" si="2"/>
        <v>43.16573502</v>
      </c>
      <c r="AD14" s="18">
        <v>122.0</v>
      </c>
      <c r="AE14" s="18">
        <v>125.0</v>
      </c>
      <c r="AF14" s="19">
        <f t="shared" si="3"/>
        <v>34</v>
      </c>
      <c r="AG14" s="19">
        <f t="shared" si="4"/>
        <v>31</v>
      </c>
      <c r="AH14" s="1">
        <v>19.65</v>
      </c>
      <c r="AI14" s="1"/>
      <c r="AJ14" s="1"/>
      <c r="AK14" s="1"/>
      <c r="AL14" s="1"/>
    </row>
    <row r="15">
      <c r="A15" s="1" t="s">
        <v>92</v>
      </c>
      <c r="B15" s="1">
        <v>42.42</v>
      </c>
      <c r="C15" s="1">
        <v>1.01</v>
      </c>
      <c r="D15" s="9">
        <v>2.32E-8</v>
      </c>
      <c r="F15" s="1" t="s">
        <v>93</v>
      </c>
      <c r="G15" s="1" t="s">
        <v>37</v>
      </c>
      <c r="H15" s="1" t="s">
        <v>78</v>
      </c>
      <c r="I15" s="1" t="s">
        <v>37</v>
      </c>
      <c r="M15" s="1" t="b">
        <v>1</v>
      </c>
      <c r="N15" s="1">
        <v>1.96</v>
      </c>
      <c r="P15" s="10">
        <v>-11.1922379</v>
      </c>
      <c r="Q15" s="29">
        <v>3.52</v>
      </c>
      <c r="R15" s="18">
        <v>19.6</v>
      </c>
      <c r="S15" s="29">
        <v>11.73</v>
      </c>
      <c r="T15" s="55">
        <v>5.48E11</v>
      </c>
      <c r="U15" s="14">
        <v>499.27</v>
      </c>
      <c r="V15" s="15">
        <v>350.874524294566</v>
      </c>
      <c r="W15" s="15">
        <v>72.1918502235676</v>
      </c>
      <c r="X15" s="16" t="s">
        <v>40</v>
      </c>
      <c r="Y15" s="17" t="s">
        <v>94</v>
      </c>
      <c r="Z15" s="1">
        <v>0.7382</v>
      </c>
      <c r="AA15" s="1">
        <v>47.62</v>
      </c>
      <c r="AB15" s="15">
        <f t="shared" si="1"/>
        <v>42.48729676</v>
      </c>
      <c r="AC15" s="15">
        <f t="shared" si="2"/>
        <v>43.51087826</v>
      </c>
      <c r="AD15" s="18">
        <v>186.0</v>
      </c>
      <c r="AE15" s="18">
        <v>128.0</v>
      </c>
      <c r="AF15" s="19">
        <f t="shared" si="3"/>
        <v>126</v>
      </c>
      <c r="AG15" s="19">
        <f t="shared" si="4"/>
        <v>199</v>
      </c>
      <c r="AH15" s="1">
        <v>18.65</v>
      </c>
      <c r="AI15" s="1">
        <v>19.9326992034912</v>
      </c>
      <c r="AJ15" s="1">
        <v>0.0602050013840198</v>
      </c>
      <c r="AK15" s="1"/>
      <c r="AL15" s="1"/>
    </row>
    <row r="16">
      <c r="A16" s="1" t="s">
        <v>95</v>
      </c>
      <c r="B16" s="1">
        <v>43.73</v>
      </c>
      <c r="C16" s="1">
        <v>1.0</v>
      </c>
      <c r="D16" s="9">
        <v>2.32E-8</v>
      </c>
      <c r="F16" s="1" t="s">
        <v>96</v>
      </c>
      <c r="G16" s="1" t="s">
        <v>37</v>
      </c>
      <c r="H16" s="1" t="s">
        <v>66</v>
      </c>
      <c r="I16" s="1" t="s">
        <v>37</v>
      </c>
      <c r="M16" s="1" t="b">
        <v>1</v>
      </c>
      <c r="N16" s="1">
        <v>1.73</v>
      </c>
      <c r="O16" s="1">
        <v>0.76</v>
      </c>
      <c r="P16" s="10">
        <v>-11.61083392</v>
      </c>
      <c r="Q16" s="20">
        <v>0.49</v>
      </c>
      <c r="R16" s="18">
        <v>9.0</v>
      </c>
      <c r="S16" s="20">
        <v>11.3</v>
      </c>
      <c r="T16" s="27">
        <v>2.0E11</v>
      </c>
      <c r="U16" s="23">
        <v>441.08</v>
      </c>
      <c r="V16" s="24">
        <v>280.801416813252</v>
      </c>
      <c r="W16" s="24">
        <v>70.5241745429962</v>
      </c>
      <c r="X16" s="25" t="s">
        <v>40</v>
      </c>
      <c r="Y16" s="28" t="s">
        <v>97</v>
      </c>
      <c r="Z16" s="1">
        <v>0.7229</v>
      </c>
      <c r="AA16" s="1">
        <v>45.64</v>
      </c>
      <c r="AB16" s="15">
        <f t="shared" si="1"/>
        <v>43.77419074</v>
      </c>
      <c r="AC16" s="15">
        <f t="shared" si="2"/>
        <v>44.84575364</v>
      </c>
      <c r="AD16" s="18">
        <v>50.0</v>
      </c>
      <c r="AE16" s="18">
        <v>54.0</v>
      </c>
      <c r="AF16" s="19">
        <f t="shared" si="3"/>
        <v>190</v>
      </c>
      <c r="AG16" s="19">
        <f t="shared" si="4"/>
        <v>185</v>
      </c>
      <c r="AH16" s="1">
        <v>19.1</v>
      </c>
      <c r="AI16" s="1">
        <v>19.1406993865966</v>
      </c>
      <c r="AJ16" s="1">
        <v>0.013876000419259</v>
      </c>
      <c r="AK16" s="1"/>
      <c r="AL16" s="1"/>
    </row>
    <row r="17">
      <c r="A17" s="1" t="s">
        <v>98</v>
      </c>
      <c r="B17" s="1">
        <v>44.28</v>
      </c>
      <c r="C17" s="1">
        <v>1.01</v>
      </c>
      <c r="D17" s="9">
        <v>2.32E-8</v>
      </c>
      <c r="F17" s="1" t="s">
        <v>99</v>
      </c>
      <c r="G17" s="1" t="s">
        <v>37</v>
      </c>
      <c r="H17" s="1" t="s">
        <v>100</v>
      </c>
      <c r="I17" s="1" t="s">
        <v>55</v>
      </c>
      <c r="M17" s="1" t="b">
        <v>1</v>
      </c>
      <c r="N17" s="1">
        <v>1.372</v>
      </c>
      <c r="O17" s="1">
        <v>0.77</v>
      </c>
      <c r="P17" s="10">
        <v>-10.82852656</v>
      </c>
      <c r="Q17" s="20">
        <v>1.45</v>
      </c>
      <c r="R17" s="18">
        <v>5.2</v>
      </c>
      <c r="S17" s="20">
        <v>9.99</v>
      </c>
      <c r="T17" s="27">
        <v>9.77E10</v>
      </c>
      <c r="U17" s="23">
        <v>631.29</v>
      </c>
      <c r="V17" s="24">
        <v>282.058506825248</v>
      </c>
      <c r="W17" s="24">
        <v>73.3362822052</v>
      </c>
      <c r="X17" s="25" t="s">
        <v>40</v>
      </c>
      <c r="Y17" s="28" t="s">
        <v>101</v>
      </c>
      <c r="Z17" s="1">
        <v>0.7159</v>
      </c>
      <c r="AA17" s="1">
        <v>45.64</v>
      </c>
      <c r="AB17" s="15">
        <f t="shared" si="1"/>
        <v>44.3530162</v>
      </c>
      <c r="AC17" s="15">
        <f t="shared" si="2"/>
        <v>45.44687686</v>
      </c>
      <c r="AD17" s="18">
        <v>51.0</v>
      </c>
      <c r="AE17" s="18">
        <v>54.0</v>
      </c>
      <c r="AF17" s="19">
        <f t="shared" si="3"/>
        <v>538</v>
      </c>
      <c r="AG17" s="19">
        <f t="shared" si="4"/>
        <v>535</v>
      </c>
      <c r="AH17" s="1">
        <v>19.35</v>
      </c>
      <c r="AI17" s="1">
        <v>19.7682991027832</v>
      </c>
      <c r="AJ17" s="1">
        <v>0.0232079997658729</v>
      </c>
      <c r="AK17" s="1"/>
      <c r="AL17" s="1"/>
    </row>
    <row r="18">
      <c r="A18" s="1" t="s">
        <v>102</v>
      </c>
      <c r="B18" s="1">
        <v>45.09</v>
      </c>
      <c r="C18" s="1">
        <v>1.01</v>
      </c>
      <c r="D18" s="9">
        <v>2.32E-8</v>
      </c>
      <c r="F18" s="1" t="s">
        <v>103</v>
      </c>
      <c r="G18" s="1" t="s">
        <v>37</v>
      </c>
      <c r="H18" s="1" t="s">
        <v>54</v>
      </c>
      <c r="I18" s="1" t="s">
        <v>104</v>
      </c>
      <c r="M18" s="1" t="b">
        <v>1</v>
      </c>
      <c r="N18" s="1">
        <v>1.6418</v>
      </c>
      <c r="O18" s="1">
        <v>0.82</v>
      </c>
      <c r="P18" s="10">
        <v>-11.01277429</v>
      </c>
      <c r="Q18" s="29">
        <v>1.34</v>
      </c>
      <c r="R18" s="18">
        <v>6.8</v>
      </c>
      <c r="S18" s="29">
        <v>11.14</v>
      </c>
      <c r="T18" s="13">
        <v>1.38E11</v>
      </c>
      <c r="U18" s="14">
        <v>651.24</v>
      </c>
      <c r="V18" s="15">
        <v>311.993014348362</v>
      </c>
      <c r="W18" s="15">
        <v>72.6186033140028</v>
      </c>
      <c r="X18" s="16" t="s">
        <v>40</v>
      </c>
      <c r="Y18" s="17" t="s">
        <v>105</v>
      </c>
      <c r="Z18" s="1">
        <v>0.7059</v>
      </c>
      <c r="AA18" s="1">
        <v>45.65</v>
      </c>
      <c r="AB18" s="15">
        <f t="shared" si="1"/>
        <v>45.16974527</v>
      </c>
      <c r="AC18" s="15">
        <f t="shared" si="2"/>
        <v>46.29587499</v>
      </c>
      <c r="AD18" s="18">
        <v>86.0</v>
      </c>
      <c r="AE18" s="18">
        <v>78.0</v>
      </c>
      <c r="AF18" s="19">
        <f t="shared" si="3"/>
        <v>445</v>
      </c>
      <c r="AG18" s="19">
        <f t="shared" si="4"/>
        <v>455</v>
      </c>
      <c r="AH18" s="1">
        <v>18.52</v>
      </c>
      <c r="AI18" s="56">
        <v>20.0265007019042</v>
      </c>
      <c r="AJ18" s="56">
        <v>0.0381390005350112</v>
      </c>
      <c r="AK18" s="56"/>
      <c r="AL18" s="56"/>
    </row>
    <row r="19">
      <c r="A19" s="7" t="s">
        <v>106</v>
      </c>
      <c r="B19" s="1">
        <v>48.86</v>
      </c>
      <c r="C19" s="1">
        <v>1.01</v>
      </c>
      <c r="D19" s="9">
        <v>6.27E-7</v>
      </c>
      <c r="F19" s="1" t="s">
        <v>107</v>
      </c>
      <c r="G19" s="1" t="s">
        <v>37</v>
      </c>
      <c r="H19" s="1" t="s">
        <v>108</v>
      </c>
      <c r="I19" s="1" t="s">
        <v>109</v>
      </c>
      <c r="M19" s="1" t="b">
        <v>1</v>
      </c>
      <c r="N19" s="1">
        <v>1.38</v>
      </c>
      <c r="O19" s="1">
        <v>0.56</v>
      </c>
      <c r="P19" s="10">
        <v>-9.595701247</v>
      </c>
      <c r="Q19" s="29">
        <v>0.86</v>
      </c>
      <c r="R19" s="12">
        <v>0.4</v>
      </c>
      <c r="S19" s="57"/>
      <c r="T19" s="58">
        <v>3.39E9</v>
      </c>
      <c r="U19" s="14">
        <v>364.5</v>
      </c>
      <c r="V19" s="15">
        <v>322.415208643486</v>
      </c>
      <c r="W19" s="15">
        <v>-79.4757580984851</v>
      </c>
      <c r="X19" s="16" t="s">
        <v>40</v>
      </c>
      <c r="Y19" s="17" t="s">
        <v>110</v>
      </c>
      <c r="Z19" s="1">
        <v>0.6579</v>
      </c>
      <c r="AA19" s="1">
        <v>49.54</v>
      </c>
      <c r="AB19" s="15">
        <f t="shared" si="1"/>
        <v>48.94229462</v>
      </c>
      <c r="AC19" s="15">
        <f t="shared" si="2"/>
        <v>50.2314597</v>
      </c>
      <c r="AD19" s="18">
        <v>43.0</v>
      </c>
      <c r="AE19" s="18">
        <v>57.0</v>
      </c>
      <c r="AF19" s="19">
        <f t="shared" si="3"/>
        <v>94</v>
      </c>
      <c r="AG19" s="19">
        <f t="shared" si="4"/>
        <v>76</v>
      </c>
      <c r="AH19" s="7">
        <v>20.77</v>
      </c>
      <c r="AI19" s="7"/>
      <c r="AJ19" s="7"/>
      <c r="AK19" s="7"/>
      <c r="AL19" s="7"/>
    </row>
    <row r="20">
      <c r="A20" s="1" t="s">
        <v>111</v>
      </c>
      <c r="B20" s="1">
        <v>49.83</v>
      </c>
      <c r="C20" s="1">
        <v>1.01</v>
      </c>
      <c r="D20" s="9">
        <v>5.27E-9</v>
      </c>
      <c r="F20" s="1" t="s">
        <v>112</v>
      </c>
      <c r="G20" s="1" t="s">
        <v>37</v>
      </c>
      <c r="H20" s="1" t="s">
        <v>39</v>
      </c>
      <c r="I20" s="1" t="s">
        <v>37</v>
      </c>
      <c r="M20" s="1" t="b">
        <v>1</v>
      </c>
      <c r="N20" s="1">
        <v>1.27</v>
      </c>
      <c r="O20" s="1">
        <v>0.51</v>
      </c>
      <c r="P20" s="10">
        <v>-10.36027291</v>
      </c>
      <c r="Q20" s="20">
        <v>0.65</v>
      </c>
      <c r="R20" s="18">
        <v>1.2</v>
      </c>
      <c r="S20" s="31"/>
      <c r="T20" s="32">
        <v>1.49E10</v>
      </c>
      <c r="U20" s="23">
        <v>504.0</v>
      </c>
      <c r="V20" s="24">
        <v>183.979524936268</v>
      </c>
      <c r="W20" s="24">
        <v>-13.0210785237284</v>
      </c>
      <c r="X20" s="25" t="s">
        <v>40</v>
      </c>
      <c r="Y20" s="28" t="s">
        <v>113</v>
      </c>
      <c r="Z20" s="1">
        <v>0.645</v>
      </c>
      <c r="AA20" s="1">
        <v>49.54</v>
      </c>
      <c r="AB20" s="15">
        <f t="shared" si="1"/>
        <v>49.91941241</v>
      </c>
      <c r="AC20" s="15">
        <f t="shared" si="2"/>
        <v>51.25513431</v>
      </c>
      <c r="AD20" s="18">
        <v>31.0</v>
      </c>
      <c r="AE20" s="18">
        <v>38.0</v>
      </c>
      <c r="AF20" s="19">
        <f t="shared" si="3"/>
        <v>335</v>
      </c>
      <c r="AG20" s="19">
        <f t="shared" si="4"/>
        <v>326</v>
      </c>
      <c r="AH20" s="1">
        <v>20.34</v>
      </c>
      <c r="AI20" s="1"/>
      <c r="AJ20" s="1"/>
      <c r="AK20" s="1"/>
      <c r="AL20" s="1"/>
    </row>
    <row r="21">
      <c r="A21" s="33" t="s">
        <v>114</v>
      </c>
      <c r="B21" s="33">
        <v>50.69</v>
      </c>
      <c r="C21" s="33">
        <v>1.0</v>
      </c>
      <c r="D21" s="34">
        <v>4.3E-9</v>
      </c>
      <c r="E21" s="35"/>
      <c r="F21" s="33" t="s">
        <v>115</v>
      </c>
      <c r="G21" s="33" t="s">
        <v>37</v>
      </c>
      <c r="H21" s="33" t="s">
        <v>116</v>
      </c>
      <c r="I21" s="33" t="s">
        <v>37</v>
      </c>
      <c r="J21" s="35"/>
      <c r="K21" s="35"/>
      <c r="L21" s="35"/>
      <c r="M21" s="33" t="b">
        <v>1</v>
      </c>
      <c r="N21" s="33">
        <v>1.29</v>
      </c>
      <c r="O21" s="33">
        <v>0.68</v>
      </c>
      <c r="P21" s="36">
        <v>-10.38535088</v>
      </c>
      <c r="Q21" s="59">
        <v>0.42</v>
      </c>
      <c r="R21" s="38">
        <v>0.9</v>
      </c>
      <c r="S21" s="59">
        <v>10.01</v>
      </c>
      <c r="T21" s="39">
        <v>1.02E10</v>
      </c>
      <c r="U21" s="40">
        <v>583.0</v>
      </c>
      <c r="V21" s="41">
        <v>208.803803368415</v>
      </c>
      <c r="W21" s="41">
        <v>22.4664785690254</v>
      </c>
      <c r="X21" s="42" t="s">
        <v>38</v>
      </c>
      <c r="Y21" s="43" t="s">
        <v>117</v>
      </c>
      <c r="Z21" s="33">
        <v>0.6335</v>
      </c>
      <c r="AA21" s="33">
        <v>53.22</v>
      </c>
      <c r="AB21" s="41">
        <f t="shared" si="1"/>
        <v>50.77890029</v>
      </c>
      <c r="AC21" s="41">
        <f t="shared" si="2"/>
        <v>52.15728182</v>
      </c>
      <c r="AD21" s="38">
        <v>20.0</v>
      </c>
      <c r="AE21" s="38">
        <v>22.0</v>
      </c>
      <c r="AF21" s="19">
        <f t="shared" si="3"/>
        <v>415</v>
      </c>
      <c r="AG21" s="19">
        <f t="shared" si="4"/>
        <v>413</v>
      </c>
      <c r="AH21" s="33">
        <v>21.19</v>
      </c>
      <c r="AI21" s="33"/>
      <c r="AJ21" s="33"/>
      <c r="AK21" s="33"/>
      <c r="AL21" s="33"/>
    </row>
    <row r="22">
      <c r="A22" s="7" t="s">
        <v>118</v>
      </c>
      <c r="B22" s="1">
        <v>51.71</v>
      </c>
      <c r="C22" s="1">
        <v>1.01</v>
      </c>
      <c r="D22" s="9">
        <v>1.0E-9</v>
      </c>
      <c r="F22" s="1" t="s">
        <v>119</v>
      </c>
      <c r="G22" s="1" t="s">
        <v>38</v>
      </c>
      <c r="H22" s="1" t="s">
        <v>120</v>
      </c>
      <c r="I22" s="1" t="s">
        <v>39</v>
      </c>
      <c r="M22" s="1" t="b">
        <v>1</v>
      </c>
      <c r="N22" s="1">
        <v>1.7833</v>
      </c>
      <c r="O22" s="1">
        <v>0.59</v>
      </c>
      <c r="P22" s="10">
        <v>-9.760182939</v>
      </c>
      <c r="Q22" s="29"/>
      <c r="R22" s="12">
        <v>2.9</v>
      </c>
      <c r="S22" s="57"/>
      <c r="T22" s="58">
        <v>4.64E10</v>
      </c>
      <c r="U22" s="14">
        <v>506.92</v>
      </c>
      <c r="V22" s="15">
        <v>323.352187199872</v>
      </c>
      <c r="W22" s="15">
        <v>-54.7477484912365</v>
      </c>
      <c r="X22" s="16" t="s">
        <v>40</v>
      </c>
      <c r="Y22" s="17" t="s">
        <v>121</v>
      </c>
      <c r="Z22" s="1">
        <v>0.6196</v>
      </c>
      <c r="AA22" s="60">
        <v>56.35</v>
      </c>
      <c r="AB22" s="15">
        <f t="shared" si="1"/>
        <v>51.80406065</v>
      </c>
      <c r="AC22" s="15">
        <f t="shared" si="2"/>
        <v>53.23558944</v>
      </c>
      <c r="AD22" s="18">
        <v>31.0</v>
      </c>
      <c r="AE22" s="18">
        <v>44.0</v>
      </c>
      <c r="AF22" s="19">
        <f t="shared" si="3"/>
        <v>340</v>
      </c>
      <c r="AG22" s="19">
        <f t="shared" si="4"/>
        <v>324</v>
      </c>
      <c r="AH22" s="1">
        <v>18.36</v>
      </c>
      <c r="AI22" s="1"/>
      <c r="AJ22" s="1"/>
      <c r="AK22" s="1"/>
      <c r="AL22" s="1"/>
    </row>
    <row r="23">
      <c r="A23" s="1" t="s">
        <v>122</v>
      </c>
      <c r="B23" s="1">
        <v>57.95</v>
      </c>
      <c r="C23" s="1">
        <v>1.0</v>
      </c>
      <c r="D23" s="9">
        <v>1.0E-9</v>
      </c>
      <c r="F23" s="1" t="s">
        <v>123</v>
      </c>
      <c r="G23" s="1" t="s">
        <v>55</v>
      </c>
      <c r="H23" s="1" t="s">
        <v>37</v>
      </c>
      <c r="I23" s="1" t="s">
        <v>37</v>
      </c>
      <c r="M23" s="1" t="b">
        <v>1</v>
      </c>
      <c r="N23" s="1">
        <v>11.0</v>
      </c>
      <c r="P23" s="10">
        <v>-12.22724378</v>
      </c>
      <c r="Q23" s="20">
        <v>0.08</v>
      </c>
      <c r="R23" s="18">
        <v>6.7</v>
      </c>
      <c r="S23" s="20">
        <v>11.13</v>
      </c>
      <c r="T23" s="27">
        <v>1.35E11</v>
      </c>
      <c r="U23" s="23">
        <v>269.53</v>
      </c>
      <c r="V23" s="24">
        <v>282.67480644498</v>
      </c>
      <c r="W23" s="24">
        <v>70.2427258540453</v>
      </c>
      <c r="X23" s="25" t="s">
        <v>40</v>
      </c>
      <c r="Y23" s="28" t="s">
        <v>124</v>
      </c>
      <c r="Z23" s="1">
        <v>0.5305</v>
      </c>
      <c r="AA23" s="1">
        <v>56.74</v>
      </c>
      <c r="AB23" s="15">
        <f t="shared" si="1"/>
        <v>58.07559598</v>
      </c>
      <c r="AC23" s="15">
        <f t="shared" si="2"/>
        <v>59.90153024</v>
      </c>
      <c r="AD23" s="18">
        <v>52.0</v>
      </c>
      <c r="AE23" s="18">
        <v>55.0</v>
      </c>
      <c r="AF23" s="19">
        <f t="shared" si="3"/>
        <v>154</v>
      </c>
      <c r="AG23" s="19">
        <f t="shared" si="4"/>
        <v>150</v>
      </c>
      <c r="AH23" s="1">
        <v>16.51</v>
      </c>
      <c r="AI23" s="1">
        <v>17.7301006317138</v>
      </c>
      <c r="AJ23" s="1">
        <v>0.00618299981579184</v>
      </c>
      <c r="AK23" s="1"/>
      <c r="AL23" s="1"/>
    </row>
    <row r="24">
      <c r="A24" s="1" t="s">
        <v>125</v>
      </c>
      <c r="B24" s="1">
        <v>60.86</v>
      </c>
      <c r="C24" s="1">
        <v>1.0</v>
      </c>
      <c r="D24" s="9">
        <v>7.74E-9</v>
      </c>
      <c r="E24" s="1" t="s">
        <v>126</v>
      </c>
      <c r="F24" s="1" t="s">
        <v>127</v>
      </c>
      <c r="G24" s="1" t="s">
        <v>37</v>
      </c>
      <c r="H24" s="1" t="s">
        <v>39</v>
      </c>
      <c r="I24" s="1" t="s">
        <v>37</v>
      </c>
      <c r="J24" s="1" t="s">
        <v>128</v>
      </c>
      <c r="M24" s="1" t="b">
        <v>1</v>
      </c>
      <c r="N24" s="61">
        <v>1.7476</v>
      </c>
      <c r="O24" s="1">
        <v>0.61</v>
      </c>
      <c r="P24" s="10">
        <v>-10.44</v>
      </c>
      <c r="Q24" s="20">
        <v>0.48</v>
      </c>
      <c r="R24" s="18">
        <v>1.1</v>
      </c>
      <c r="S24" s="20"/>
      <c r="T24" s="32">
        <v>1.33E10</v>
      </c>
      <c r="U24" s="23">
        <v>577.8</v>
      </c>
      <c r="V24" s="24">
        <v>53.4958425539765</v>
      </c>
      <c r="W24" s="24">
        <v>-14.0831745853353</v>
      </c>
      <c r="X24" s="25" t="s">
        <v>40</v>
      </c>
      <c r="Y24" s="28" t="s">
        <v>129</v>
      </c>
      <c r="Z24" s="1">
        <v>0.4892</v>
      </c>
      <c r="AA24" s="1">
        <v>55.75</v>
      </c>
      <c r="AB24" s="15">
        <f t="shared" si="1"/>
        <v>60.84016964</v>
      </c>
      <c r="AC24" s="15">
        <f t="shared" si="2"/>
        <v>62.89291252</v>
      </c>
      <c r="AD24" s="18">
        <v>37.0</v>
      </c>
      <c r="AE24" s="18">
        <v>35.0</v>
      </c>
      <c r="AF24" s="19">
        <f t="shared" si="3"/>
        <v>309</v>
      </c>
      <c r="AG24" s="19">
        <f t="shared" si="4"/>
        <v>311</v>
      </c>
      <c r="AH24" s="1">
        <v>19.95</v>
      </c>
      <c r="AI24" s="1"/>
      <c r="AJ24" s="1"/>
      <c r="AK24" s="1"/>
      <c r="AL24" s="1"/>
    </row>
    <row r="25">
      <c r="A25" s="7" t="s">
        <v>130</v>
      </c>
      <c r="B25" s="1">
        <v>65.96</v>
      </c>
      <c r="C25" s="1">
        <v>1.0</v>
      </c>
      <c r="D25" s="9">
        <v>7.74E-9</v>
      </c>
      <c r="F25" s="1" t="s">
        <v>131</v>
      </c>
      <c r="G25" s="1" t="s">
        <v>37</v>
      </c>
      <c r="H25" s="1" t="s">
        <v>132</v>
      </c>
      <c r="I25" s="1" t="s">
        <v>37</v>
      </c>
      <c r="M25" s="1" t="b">
        <v>1</v>
      </c>
      <c r="N25" s="1">
        <v>11.3856</v>
      </c>
      <c r="O25" s="1">
        <v>0.54</v>
      </c>
      <c r="P25" s="10">
        <v>-9.840299157</v>
      </c>
      <c r="Q25" s="29">
        <v>0.13</v>
      </c>
      <c r="R25" s="12">
        <v>0.1</v>
      </c>
      <c r="S25" s="57"/>
      <c r="T25" s="58">
        <v>9.0E8</v>
      </c>
      <c r="U25" s="14">
        <v>114.1</v>
      </c>
      <c r="V25" s="15">
        <v>333.8531</v>
      </c>
      <c r="W25" s="15">
        <v>-19.5853</v>
      </c>
      <c r="X25" s="16" t="s">
        <v>40</v>
      </c>
      <c r="Y25" s="17" t="s">
        <v>133</v>
      </c>
      <c r="Z25" s="1">
        <v>0.4074</v>
      </c>
      <c r="AA25" s="1">
        <v>64.19</v>
      </c>
      <c r="AB25" s="15">
        <f t="shared" si="1"/>
        <v>66.11974666</v>
      </c>
      <c r="AC25" s="15">
        <f t="shared" si="2"/>
        <v>68.76167422</v>
      </c>
      <c r="AD25" s="18">
        <v>24.0</v>
      </c>
      <c r="AE25" s="18">
        <v>36.0</v>
      </c>
      <c r="AF25" s="19">
        <f t="shared" si="3"/>
        <v>83</v>
      </c>
      <c r="AG25" s="19">
        <f t="shared" si="4"/>
        <v>71</v>
      </c>
      <c r="AH25" s="62">
        <v>14.97</v>
      </c>
      <c r="AI25" s="62"/>
      <c r="AJ25" s="62"/>
      <c r="AK25" s="62"/>
      <c r="AL25" s="62"/>
    </row>
    <row r="26">
      <c r="A26" s="7" t="s">
        <v>134</v>
      </c>
      <c r="B26" s="1">
        <v>74.81</v>
      </c>
      <c r="C26" s="1">
        <v>1.0</v>
      </c>
      <c r="D26" s="9">
        <v>6.38E-9</v>
      </c>
      <c r="F26" s="1" t="s">
        <v>135</v>
      </c>
      <c r="G26" s="1" t="s">
        <v>37</v>
      </c>
      <c r="H26" s="1" t="s">
        <v>37</v>
      </c>
      <c r="I26" s="1" t="s">
        <v>37</v>
      </c>
      <c r="M26" s="1" t="b">
        <v>1</v>
      </c>
      <c r="N26" s="1">
        <v>6.19</v>
      </c>
      <c r="O26" s="1">
        <v>0.53</v>
      </c>
      <c r="P26" s="10">
        <v>-9.569406729</v>
      </c>
      <c r="Q26" s="29">
        <v>2.14</v>
      </c>
      <c r="R26" s="12">
        <v>0.8</v>
      </c>
      <c r="S26" s="29">
        <v>9.9</v>
      </c>
      <c r="T26" s="13">
        <v>7.94E9</v>
      </c>
      <c r="U26" s="14">
        <v>262.38</v>
      </c>
      <c r="V26" s="15">
        <v>310.19767916805</v>
      </c>
      <c r="W26" s="15">
        <v>72.8826580623927</v>
      </c>
      <c r="X26" s="15"/>
      <c r="Y26" s="17" t="s">
        <v>136</v>
      </c>
      <c r="Z26" s="1">
        <v>0.2621</v>
      </c>
      <c r="AA26" s="1">
        <v>73.99</v>
      </c>
      <c r="AB26" s="15">
        <f t="shared" si="1"/>
        <v>75.0717735</v>
      </c>
      <c r="AC26" s="15">
        <f t="shared" si="2"/>
        <v>80.04391547</v>
      </c>
      <c r="AD26" s="18">
        <v>83.0</v>
      </c>
      <c r="AE26" s="18">
        <v>76.0</v>
      </c>
      <c r="AF26" s="19">
        <f t="shared" si="3"/>
        <v>149</v>
      </c>
      <c r="AG26" s="19">
        <f t="shared" si="4"/>
        <v>156</v>
      </c>
      <c r="AH26" s="1">
        <v>15.9</v>
      </c>
      <c r="AI26" s="1">
        <v>18.2390995025634</v>
      </c>
      <c r="AJ26" s="1">
        <v>0.0107610002160072</v>
      </c>
      <c r="AK26" s="1"/>
      <c r="AL26" s="1"/>
    </row>
    <row r="27">
      <c r="A27" s="1" t="s">
        <v>137</v>
      </c>
      <c r="O27" s="19">
        <f>AVERAGE(O2:O25)</f>
        <v>0.67</v>
      </c>
      <c r="AI27" s="1">
        <v>21.4564990997314</v>
      </c>
      <c r="AJ27" s="1">
        <v>0.11566700041294</v>
      </c>
      <c r="AK27" s="1"/>
      <c r="AL27" s="1"/>
    </row>
    <row r="28">
      <c r="N28" s="7" t="s">
        <v>138</v>
      </c>
      <c r="O28" s="1" t="s">
        <v>139</v>
      </c>
      <c r="P28" s="1" t="s">
        <v>140</v>
      </c>
      <c r="Q28" s="1" t="s">
        <v>141</v>
      </c>
      <c r="R28" s="1"/>
      <c r="Z28" s="15"/>
      <c r="AA28" s="15"/>
      <c r="AB28" s="15"/>
    </row>
    <row r="29">
      <c r="M29" s="1"/>
      <c r="O29" s="1" t="s">
        <v>142</v>
      </c>
      <c r="P29" s="19">
        <f>AVERAGE(P3,P5,P4,P6,P8,P9,P10,P11,P12,P19,P20,P22,P24,P26,P25,P18)</f>
        <v>-10.30268969</v>
      </c>
      <c r="Q29" s="19">
        <f>STDEV(P3,P5,P4,P6,P8,P9,P10,P11,P12,P19,P20,P22,P24,P26,P25,P18)</f>
        <v>0.9119521692</v>
      </c>
      <c r="Z29" s="24"/>
      <c r="AA29" s="24"/>
      <c r="AB29" s="24"/>
    </row>
    <row r="30">
      <c r="O30" s="1" t="s">
        <v>143</v>
      </c>
      <c r="P30" s="19">
        <f>AVERAGEA(P2,P7,P13,P14,P16,P17,P21,P23)</f>
        <v>-10.60592699</v>
      </c>
      <c r="Q30" s="19">
        <f>STDEV(P2,P7,P13,P14,P16,P17,P21,P23)</f>
        <v>1.116048977</v>
      </c>
      <c r="T30" s="13"/>
      <c r="V30" s="1" t="s">
        <v>144</v>
      </c>
      <c r="Z30" s="24"/>
      <c r="AA30" s="24"/>
      <c r="AB30" s="24"/>
    </row>
    <row r="31">
      <c r="O31" s="1" t="s">
        <v>145</v>
      </c>
      <c r="P31" s="19">
        <f>P15</f>
        <v>-11.1922379</v>
      </c>
      <c r="Q31" s="1">
        <v>0.0</v>
      </c>
      <c r="R31" s="1"/>
      <c r="T31" s="22"/>
      <c r="Z31" s="15"/>
      <c r="AA31" s="15"/>
      <c r="AB31" s="15"/>
    </row>
    <row r="32">
      <c r="D32" s="63"/>
      <c r="T32" s="27"/>
      <c r="Z32" s="25"/>
      <c r="AA32" s="25"/>
      <c r="AB32" s="25"/>
    </row>
    <row r="33">
      <c r="T33" s="53"/>
      <c r="Z33" s="24"/>
      <c r="AA33" s="24"/>
      <c r="AB33" s="24"/>
    </row>
    <row r="34">
      <c r="T34" s="58"/>
      <c r="Z34" s="25"/>
      <c r="AA34" s="25"/>
      <c r="AB34" s="25"/>
    </row>
    <row r="35">
      <c r="T35" s="58"/>
      <c r="Z35" s="15"/>
      <c r="AA35" s="15"/>
      <c r="AB35" s="15"/>
    </row>
    <row r="36">
      <c r="T36" s="58"/>
      <c r="Z36" s="47"/>
      <c r="AA36" s="47"/>
      <c r="AB36" s="47"/>
    </row>
    <row r="37">
      <c r="T37" s="13"/>
      <c r="Z37" s="24"/>
      <c r="AA37" s="24"/>
      <c r="AB37" s="24"/>
    </row>
    <row r="38">
      <c r="Z38" s="15"/>
      <c r="AA38" s="15"/>
      <c r="AB38" s="15"/>
    </row>
    <row r="39">
      <c r="Z39" s="15"/>
      <c r="AA39" s="15"/>
      <c r="AB39" s="15"/>
    </row>
    <row r="40">
      <c r="Z40" s="24"/>
      <c r="AA40" s="24"/>
      <c r="AB40" s="24"/>
    </row>
    <row r="41">
      <c r="Z41" s="15"/>
      <c r="AA41" s="15"/>
      <c r="AB41" s="15"/>
    </row>
    <row r="42">
      <c r="Z42" s="24"/>
      <c r="AA42" s="24"/>
      <c r="AB42" s="24"/>
    </row>
    <row r="43">
      <c r="Z43" s="24"/>
      <c r="AA43" s="24"/>
      <c r="AB43" s="24"/>
    </row>
    <row r="44">
      <c r="Z44" s="15"/>
      <c r="AA44" s="15"/>
      <c r="AB44" s="15"/>
    </row>
    <row r="45">
      <c r="Z45" s="15"/>
      <c r="AA45" s="15"/>
      <c r="AB45" s="15"/>
    </row>
    <row r="46">
      <c r="Z46" s="24"/>
      <c r="AA46" s="24"/>
      <c r="AB46" s="24"/>
    </row>
    <row r="47">
      <c r="Z47" s="15"/>
      <c r="AA47" s="15"/>
      <c r="AB47" s="15"/>
    </row>
    <row r="48">
      <c r="Z48" s="15"/>
      <c r="AA48" s="15"/>
      <c r="AB48" s="15"/>
    </row>
    <row r="49">
      <c r="Z49" s="24"/>
      <c r="AA49" s="24"/>
      <c r="AB49" s="24"/>
    </row>
    <row r="50">
      <c r="Z50" s="24"/>
      <c r="AA50" s="24"/>
      <c r="AB50" s="24"/>
    </row>
    <row r="51">
      <c r="Z51" s="15"/>
      <c r="AA51" s="15"/>
      <c r="AB51" s="15"/>
    </row>
    <row r="52">
      <c r="Z52" s="15"/>
      <c r="AA52" s="15"/>
      <c r="AB52" s="15"/>
    </row>
    <row r="59">
      <c r="F59" s="7" t="s">
        <v>35</v>
      </c>
      <c r="G59" s="17" t="s">
        <v>41</v>
      </c>
    </row>
    <row r="60">
      <c r="F60" s="7" t="s">
        <v>42</v>
      </c>
      <c r="G60" s="26">
        <v>0.0469</v>
      </c>
    </row>
    <row r="61">
      <c r="F61" s="1" t="s">
        <v>49</v>
      </c>
      <c r="G61" s="28" t="s">
        <v>51</v>
      </c>
    </row>
    <row r="62">
      <c r="F62" s="1" t="s">
        <v>52</v>
      </c>
      <c r="G62" s="17" t="s">
        <v>56</v>
      </c>
    </row>
    <row r="63">
      <c r="F63" s="7" t="s">
        <v>57</v>
      </c>
      <c r="G63" s="28" t="s">
        <v>59</v>
      </c>
      <c r="U63" s="17" t="s">
        <v>41</v>
      </c>
      <c r="V63" s="17" t="s">
        <v>41</v>
      </c>
      <c r="W63" s="17" t="s">
        <v>41</v>
      </c>
    </row>
    <row r="64">
      <c r="F64" s="1" t="s">
        <v>60</v>
      </c>
      <c r="G64" s="28" t="s">
        <v>63</v>
      </c>
      <c r="U64" s="26">
        <v>0.0469</v>
      </c>
      <c r="V64" s="26">
        <v>0.0469</v>
      </c>
      <c r="W64" s="26">
        <v>0.0469</v>
      </c>
    </row>
    <row r="65">
      <c r="F65" s="1" t="s">
        <v>64</v>
      </c>
      <c r="G65" s="28" t="s">
        <v>67</v>
      </c>
      <c r="U65" s="28" t="s">
        <v>51</v>
      </c>
      <c r="V65" s="28" t="s">
        <v>51</v>
      </c>
      <c r="W65" s="28" t="s">
        <v>51</v>
      </c>
    </row>
    <row r="66">
      <c r="F66" s="1" t="s">
        <v>71</v>
      </c>
      <c r="G66" s="49" t="s">
        <v>74</v>
      </c>
      <c r="U66" s="17" t="s">
        <v>56</v>
      </c>
      <c r="V66" s="17" t="s">
        <v>56</v>
      </c>
      <c r="W66" s="17" t="s">
        <v>56</v>
      </c>
    </row>
    <row r="67">
      <c r="F67" s="1" t="s">
        <v>75</v>
      </c>
      <c r="G67" s="28" t="s">
        <v>79</v>
      </c>
      <c r="U67" s="28" t="s">
        <v>59</v>
      </c>
      <c r="V67" s="28" t="s">
        <v>59</v>
      </c>
      <c r="W67" s="28" t="s">
        <v>59</v>
      </c>
    </row>
    <row r="68">
      <c r="F68" s="1" t="s">
        <v>80</v>
      </c>
      <c r="G68" s="17" t="s">
        <v>82</v>
      </c>
      <c r="U68" s="28" t="s">
        <v>63</v>
      </c>
      <c r="V68" s="28" t="s">
        <v>63</v>
      </c>
      <c r="W68" s="28" t="s">
        <v>63</v>
      </c>
    </row>
    <row r="69">
      <c r="F69" s="1" t="s">
        <v>83</v>
      </c>
      <c r="G69" s="17" t="s">
        <v>87</v>
      </c>
      <c r="U69" s="28" t="s">
        <v>67</v>
      </c>
      <c r="V69" s="28" t="s">
        <v>67</v>
      </c>
      <c r="W69" s="28" t="s">
        <v>67</v>
      </c>
    </row>
    <row r="70">
      <c r="F70" s="1" t="s">
        <v>92</v>
      </c>
      <c r="G70" s="17" t="s">
        <v>94</v>
      </c>
      <c r="U70" s="49" t="s">
        <v>74</v>
      </c>
      <c r="V70" s="49" t="s">
        <v>74</v>
      </c>
      <c r="W70" s="49" t="s">
        <v>74</v>
      </c>
    </row>
    <row r="71">
      <c r="F71" s="1" t="s">
        <v>95</v>
      </c>
      <c r="G71" s="28" t="s">
        <v>97</v>
      </c>
      <c r="U71" s="28" t="s">
        <v>79</v>
      </c>
      <c r="V71" s="28" t="s">
        <v>79</v>
      </c>
      <c r="W71" s="28" t="s">
        <v>79</v>
      </c>
    </row>
    <row r="72">
      <c r="F72" s="1" t="s">
        <v>98</v>
      </c>
      <c r="G72" s="28" t="s">
        <v>101</v>
      </c>
      <c r="U72" s="17" t="s">
        <v>82</v>
      </c>
      <c r="V72" s="17" t="s">
        <v>82</v>
      </c>
      <c r="W72" s="17" t="s">
        <v>82</v>
      </c>
    </row>
    <row r="73">
      <c r="F73" s="1" t="s">
        <v>102</v>
      </c>
      <c r="G73" s="17" t="s">
        <v>105</v>
      </c>
      <c r="U73" s="17" t="s">
        <v>87</v>
      </c>
      <c r="V73" s="17" t="s">
        <v>87</v>
      </c>
      <c r="W73" s="17" t="s">
        <v>87</v>
      </c>
    </row>
    <row r="74">
      <c r="F74" s="7" t="s">
        <v>106</v>
      </c>
      <c r="G74" s="17" t="s">
        <v>110</v>
      </c>
      <c r="U74" s="54">
        <v>0.077</v>
      </c>
      <c r="V74" s="54">
        <v>0.077</v>
      </c>
      <c r="W74" s="54">
        <v>0.077</v>
      </c>
    </row>
    <row r="75">
      <c r="F75" s="1" t="s">
        <v>111</v>
      </c>
      <c r="G75" s="28" t="s">
        <v>113</v>
      </c>
      <c r="U75" s="17" t="s">
        <v>94</v>
      </c>
      <c r="V75" s="17" t="s">
        <v>94</v>
      </c>
      <c r="W75" s="17" t="s">
        <v>94</v>
      </c>
    </row>
    <row r="76">
      <c r="F76" s="7" t="s">
        <v>118</v>
      </c>
      <c r="G76" s="17" t="s">
        <v>121</v>
      </c>
      <c r="U76" s="28" t="s">
        <v>97</v>
      </c>
      <c r="V76" s="28" t="s">
        <v>97</v>
      </c>
      <c r="W76" s="28" t="s">
        <v>97</v>
      </c>
    </row>
    <row r="77">
      <c r="F77" s="1" t="s">
        <v>122</v>
      </c>
      <c r="G77" s="28" t="s">
        <v>124</v>
      </c>
      <c r="U77" s="28" t="s">
        <v>101</v>
      </c>
      <c r="V77" s="28" t="s">
        <v>101</v>
      </c>
      <c r="W77" s="28" t="s">
        <v>101</v>
      </c>
    </row>
    <row r="78">
      <c r="F78" s="1" t="s">
        <v>125</v>
      </c>
      <c r="G78" s="28" t="s">
        <v>129</v>
      </c>
      <c r="U78" s="17" t="s">
        <v>105</v>
      </c>
      <c r="V78" s="17" t="s">
        <v>105</v>
      </c>
      <c r="W78" s="17" t="s">
        <v>105</v>
      </c>
    </row>
    <row r="79">
      <c r="F79" s="7" t="s">
        <v>130</v>
      </c>
      <c r="G79" s="17" t="s">
        <v>133</v>
      </c>
      <c r="U79" s="17" t="s">
        <v>110</v>
      </c>
      <c r="V79" s="17" t="s">
        <v>110</v>
      </c>
      <c r="W79" s="17" t="s">
        <v>110</v>
      </c>
    </row>
    <row r="80">
      <c r="F80" s="7" t="s">
        <v>134</v>
      </c>
      <c r="G80" s="17" t="s">
        <v>136</v>
      </c>
      <c r="U80" s="28" t="s">
        <v>113</v>
      </c>
      <c r="V80" s="28" t="s">
        <v>113</v>
      </c>
      <c r="W80" s="28" t="s">
        <v>113</v>
      </c>
    </row>
    <row r="81">
      <c r="U81" s="17" t="s">
        <v>121</v>
      </c>
      <c r="V81" s="17" t="s">
        <v>121</v>
      </c>
      <c r="W81" s="17" t="s">
        <v>121</v>
      </c>
    </row>
    <row r="82">
      <c r="U82" s="28" t="s">
        <v>124</v>
      </c>
      <c r="V82" s="28" t="s">
        <v>124</v>
      </c>
      <c r="W82" s="28" t="s">
        <v>124</v>
      </c>
    </row>
    <row r="83">
      <c r="U83" s="28" t="s">
        <v>129</v>
      </c>
      <c r="V83" s="28" t="s">
        <v>129</v>
      </c>
      <c r="W83" s="28" t="s">
        <v>129</v>
      </c>
    </row>
    <row r="84">
      <c r="U84" s="17" t="s">
        <v>133</v>
      </c>
      <c r="V84" s="17" t="s">
        <v>133</v>
      </c>
      <c r="W84" s="17" t="s">
        <v>133</v>
      </c>
    </row>
    <row r="85">
      <c r="U85" s="17" t="s">
        <v>136</v>
      </c>
      <c r="V85" s="17" t="s">
        <v>136</v>
      </c>
      <c r="W85" s="17" t="s">
        <v>136</v>
      </c>
    </row>
    <row r="86">
      <c r="U86" s="64">
        <f>MEDIAN(U63:U85)</f>
        <v>0.06195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9">
        <f>E2*3</f>
        <v>11.85235255</v>
      </c>
      <c r="I1" s="1" t="s">
        <v>153</v>
      </c>
      <c r="J1" s="1" t="s">
        <v>154</v>
      </c>
      <c r="K1" s="1" t="s">
        <v>155</v>
      </c>
      <c r="L1" s="19">
        <f>SQRT(3.95^2+1^2)</f>
        <v>4.074616546</v>
      </c>
      <c r="N1" s="65">
        <v>6.722846683</v>
      </c>
    </row>
    <row r="2">
      <c r="A2" s="1">
        <v>63.0</v>
      </c>
      <c r="B2" s="1">
        <v>57.0</v>
      </c>
      <c r="C2" s="19">
        <f t="shared" ref="C2:C24" si="1">ABS(A2-B2)</f>
        <v>6</v>
      </c>
      <c r="D2" s="19">
        <f t="shared" ref="D2:D24" si="2">C2*C2</f>
        <v>36</v>
      </c>
      <c r="E2" s="19">
        <f> SQRT((1/23)*SUM(D2:D24))</f>
        <v>3.950784182</v>
      </c>
      <c r="F2" s="19" t="b">
        <f t="shared" ref="F2:F24" si="3">IF(C2&gt;3*E2,False,True)</f>
        <v>1</v>
      </c>
      <c r="G2" s="66" t="b">
        <f t="shared" ref="G2:G24" si="4">IF(C2&gt;2*E2,False,True)</f>
        <v>1</v>
      </c>
      <c r="H2" s="19">
        <f>2*E2</f>
        <v>7.901568364</v>
      </c>
      <c r="I2" s="1" t="b">
        <v>0</v>
      </c>
      <c r="J2" s="19">
        <f>AVERAGE(C2:C24)</f>
        <v>2.826086957</v>
      </c>
      <c r="K2" s="19">
        <f>MEDIAN(C2:C24)</f>
        <v>2</v>
      </c>
      <c r="M2" s="19">
        <f>STDEV(N1:N23)</f>
        <v>16.21979831</v>
      </c>
      <c r="N2" s="65">
        <v>21.46738417</v>
      </c>
    </row>
    <row r="3">
      <c r="A3" s="1">
        <v>41.0</v>
      </c>
      <c r="B3" s="1">
        <v>41.0</v>
      </c>
      <c r="C3" s="19">
        <f t="shared" si="1"/>
        <v>0</v>
      </c>
      <c r="D3" s="19">
        <f t="shared" si="2"/>
        <v>0</v>
      </c>
      <c r="E3" s="1">
        <v>3.950784182</v>
      </c>
      <c r="F3" s="19" t="b">
        <f t="shared" si="3"/>
        <v>1</v>
      </c>
      <c r="G3" s="66" t="b">
        <f t="shared" si="4"/>
        <v>1</v>
      </c>
      <c r="J3" s="1" t="s">
        <v>156</v>
      </c>
      <c r="N3" s="65">
        <v>24.99158169</v>
      </c>
    </row>
    <row r="4">
      <c r="A4" s="1">
        <v>21.0</v>
      </c>
      <c r="B4" s="1">
        <v>26.0</v>
      </c>
      <c r="C4" s="19">
        <f t="shared" si="1"/>
        <v>5</v>
      </c>
      <c r="D4" s="19">
        <f t="shared" si="2"/>
        <v>25</v>
      </c>
      <c r="E4" s="1">
        <v>3.950784182</v>
      </c>
      <c r="F4" s="19" t="b">
        <f t="shared" si="3"/>
        <v>1</v>
      </c>
      <c r="G4" s="66" t="b">
        <f t="shared" si="4"/>
        <v>1</v>
      </c>
      <c r="I4" s="1" t="b">
        <v>0</v>
      </c>
      <c r="J4" s="19">
        <f>(1/23)*SUM(ABS(J2-C2:C24))</f>
        <v>0.09451795841</v>
      </c>
      <c r="N4" s="65">
        <v>26.84378523</v>
      </c>
    </row>
    <row r="5">
      <c r="A5" s="1">
        <v>7.0</v>
      </c>
      <c r="B5" s="1">
        <v>12.0</v>
      </c>
      <c r="C5" s="19">
        <f t="shared" si="1"/>
        <v>5</v>
      </c>
      <c r="D5" s="19">
        <f t="shared" si="2"/>
        <v>25</v>
      </c>
      <c r="E5" s="1">
        <v>3.950784182</v>
      </c>
      <c r="F5" s="19" t="b">
        <f t="shared" si="3"/>
        <v>1</v>
      </c>
      <c r="G5" s="66" t="b">
        <f t="shared" si="4"/>
        <v>1</v>
      </c>
      <c r="I5" s="1" t="b">
        <v>0</v>
      </c>
      <c r="J5" s="1" t="s">
        <v>157</v>
      </c>
      <c r="N5" s="65">
        <v>27.90088984</v>
      </c>
    </row>
    <row r="6">
      <c r="A6" s="1">
        <v>33.0</v>
      </c>
      <c r="B6" s="1">
        <v>35.0</v>
      </c>
      <c r="C6" s="19">
        <f t="shared" si="1"/>
        <v>2</v>
      </c>
      <c r="D6" s="19">
        <f t="shared" si="2"/>
        <v>4</v>
      </c>
      <c r="E6" s="1">
        <v>3.950784182</v>
      </c>
      <c r="F6" s="19" t="b">
        <f t="shared" si="3"/>
        <v>1</v>
      </c>
      <c r="G6" s="66" t="b">
        <f t="shared" si="4"/>
        <v>1</v>
      </c>
      <c r="J6" s="19">
        <f>2.5*J4</f>
        <v>0.236294896</v>
      </c>
      <c r="N6" s="65">
        <v>33.22200034</v>
      </c>
    </row>
    <row r="7">
      <c r="A7" s="1">
        <v>39.0</v>
      </c>
      <c r="B7" s="1">
        <v>41.0</v>
      </c>
      <c r="C7" s="19">
        <f t="shared" si="1"/>
        <v>2</v>
      </c>
      <c r="D7" s="19">
        <f t="shared" si="2"/>
        <v>4</v>
      </c>
      <c r="E7" s="1">
        <v>3.950784182</v>
      </c>
      <c r="F7" s="19" t="b">
        <f t="shared" si="3"/>
        <v>1</v>
      </c>
      <c r="G7" s="66" t="b">
        <f t="shared" si="4"/>
        <v>1</v>
      </c>
      <c r="J7" s="1" t="s">
        <v>158</v>
      </c>
      <c r="K7" s="1" t="s">
        <v>159</v>
      </c>
      <c r="N7" s="65">
        <v>34.46545586</v>
      </c>
    </row>
    <row r="8">
      <c r="A8" s="1">
        <v>45.0</v>
      </c>
      <c r="B8" s="1">
        <v>46.0</v>
      </c>
      <c r="C8" s="19">
        <f t="shared" si="1"/>
        <v>1</v>
      </c>
      <c r="D8" s="19">
        <f t="shared" si="2"/>
        <v>1</v>
      </c>
      <c r="E8" s="1">
        <v>3.950784182</v>
      </c>
      <c r="F8" s="19" t="b">
        <f t="shared" si="3"/>
        <v>1</v>
      </c>
      <c r="G8" s="66" t="b">
        <f t="shared" si="4"/>
        <v>1</v>
      </c>
      <c r="J8" s="19">
        <f>K2+J6</f>
        <v>2.236294896</v>
      </c>
      <c r="K8" s="19">
        <f>K2-J6</f>
        <v>1.763705104</v>
      </c>
      <c r="N8" s="65">
        <v>38.52423338</v>
      </c>
    </row>
    <row r="9">
      <c r="A9" s="1">
        <v>27.0</v>
      </c>
      <c r="B9" s="1">
        <v>29.0</v>
      </c>
      <c r="C9" s="19">
        <f t="shared" si="1"/>
        <v>2</v>
      </c>
      <c r="D9" s="19">
        <f t="shared" si="2"/>
        <v>4</v>
      </c>
      <c r="E9" s="1">
        <v>3.950784182</v>
      </c>
      <c r="F9" s="19" t="b">
        <f t="shared" si="3"/>
        <v>1</v>
      </c>
      <c r="G9" s="66" t="b">
        <f t="shared" si="4"/>
        <v>1</v>
      </c>
      <c r="N9" s="65">
        <v>36.81453526</v>
      </c>
    </row>
    <row r="10">
      <c r="A10" s="1">
        <v>45.0</v>
      </c>
      <c r="B10" s="1">
        <v>46.0</v>
      </c>
      <c r="C10" s="19">
        <f t="shared" si="1"/>
        <v>1</v>
      </c>
      <c r="D10" s="19">
        <f t="shared" si="2"/>
        <v>1</v>
      </c>
      <c r="E10" s="1">
        <v>3.950784182</v>
      </c>
      <c r="F10" s="19" t="b">
        <f t="shared" si="3"/>
        <v>1</v>
      </c>
      <c r="G10" s="66" t="b">
        <f t="shared" si="4"/>
        <v>1</v>
      </c>
      <c r="N10" s="65">
        <v>41.26992239</v>
      </c>
    </row>
    <row r="11">
      <c r="A11" s="1">
        <v>69.0</v>
      </c>
      <c r="B11" s="1">
        <v>63.0</v>
      </c>
      <c r="C11" s="19">
        <f t="shared" si="1"/>
        <v>6</v>
      </c>
      <c r="D11" s="19">
        <f t="shared" si="2"/>
        <v>36</v>
      </c>
      <c r="E11" s="1">
        <v>3.950784182</v>
      </c>
      <c r="F11" s="19" t="b">
        <f t="shared" si="3"/>
        <v>1</v>
      </c>
      <c r="G11" s="66" t="b">
        <f t="shared" si="4"/>
        <v>1</v>
      </c>
      <c r="I11" s="1" t="b">
        <v>0</v>
      </c>
      <c r="N11" s="65">
        <v>41.09508883</v>
      </c>
    </row>
    <row r="12">
      <c r="A12" s="1">
        <v>51.0</v>
      </c>
      <c r="B12" s="1">
        <v>50.0</v>
      </c>
      <c r="C12" s="19">
        <f t="shared" si="1"/>
        <v>1</v>
      </c>
      <c r="D12" s="19">
        <f t="shared" si="2"/>
        <v>1</v>
      </c>
      <c r="E12" s="1">
        <v>3.950784182</v>
      </c>
      <c r="F12" s="19" t="b">
        <f t="shared" si="3"/>
        <v>1</v>
      </c>
      <c r="G12" s="66" t="b">
        <f t="shared" si="4"/>
        <v>1</v>
      </c>
      <c r="N12" s="65">
        <v>43.16573502</v>
      </c>
    </row>
    <row r="13">
      <c r="A13" s="1">
        <v>80.0</v>
      </c>
      <c r="B13" s="1">
        <v>74.0</v>
      </c>
      <c r="C13" s="19">
        <f t="shared" si="1"/>
        <v>6</v>
      </c>
      <c r="D13" s="19">
        <f t="shared" si="2"/>
        <v>36</v>
      </c>
      <c r="E13" s="1">
        <v>3.950784182</v>
      </c>
      <c r="F13" s="19" t="b">
        <f t="shared" si="3"/>
        <v>1</v>
      </c>
      <c r="G13" s="66" t="b">
        <f t="shared" si="4"/>
        <v>1</v>
      </c>
      <c r="I13" s="1" t="b">
        <v>0</v>
      </c>
      <c r="N13" s="65">
        <v>43.51087826</v>
      </c>
    </row>
    <row r="14">
      <c r="A14" s="1">
        <v>60.0</v>
      </c>
      <c r="B14" s="1">
        <v>57.0</v>
      </c>
      <c r="C14" s="19">
        <f t="shared" si="1"/>
        <v>3</v>
      </c>
      <c r="D14" s="19">
        <f t="shared" si="2"/>
        <v>9</v>
      </c>
      <c r="E14" s="1">
        <v>3.950784182</v>
      </c>
      <c r="F14" s="19" t="b">
        <f t="shared" si="3"/>
        <v>1</v>
      </c>
      <c r="G14" s="66" t="b">
        <f t="shared" si="4"/>
        <v>1</v>
      </c>
      <c r="N14" s="65">
        <v>44.84575364</v>
      </c>
    </row>
    <row r="15">
      <c r="A15" s="1">
        <v>46.0</v>
      </c>
      <c r="B15" s="1">
        <v>46.0</v>
      </c>
      <c r="C15" s="19">
        <f t="shared" si="1"/>
        <v>0</v>
      </c>
      <c r="D15" s="19">
        <f t="shared" si="2"/>
        <v>0</v>
      </c>
      <c r="E15" s="1">
        <v>3.950784182</v>
      </c>
      <c r="F15" s="19" t="b">
        <f t="shared" si="3"/>
        <v>1</v>
      </c>
      <c r="G15" s="66" t="b">
        <f t="shared" si="4"/>
        <v>1</v>
      </c>
      <c r="N15" s="65">
        <v>45.44687686</v>
      </c>
    </row>
    <row r="16">
      <c r="A16" s="1">
        <v>43.0</v>
      </c>
      <c r="B16" s="1">
        <v>46.0</v>
      </c>
      <c r="C16" s="19">
        <f t="shared" si="1"/>
        <v>3</v>
      </c>
      <c r="D16" s="19">
        <f t="shared" si="2"/>
        <v>9</v>
      </c>
      <c r="E16" s="1">
        <v>3.950784182</v>
      </c>
      <c r="F16" s="19" t="b">
        <f t="shared" si="3"/>
        <v>1</v>
      </c>
      <c r="G16" s="66" t="b">
        <f t="shared" si="4"/>
        <v>1</v>
      </c>
      <c r="N16" s="65">
        <v>46.29587499</v>
      </c>
    </row>
    <row r="17">
      <c r="A17" s="1">
        <v>44.0</v>
      </c>
      <c r="B17" s="1">
        <v>47.0</v>
      </c>
      <c r="C17" s="19">
        <f t="shared" si="1"/>
        <v>3</v>
      </c>
      <c r="D17" s="19">
        <f t="shared" si="2"/>
        <v>9</v>
      </c>
      <c r="E17" s="1">
        <v>3.950784182</v>
      </c>
      <c r="F17" s="19" t="b">
        <f t="shared" si="3"/>
        <v>1</v>
      </c>
      <c r="G17" s="66" t="b">
        <f t="shared" si="4"/>
        <v>1</v>
      </c>
      <c r="N17" s="65">
        <v>50.2314597</v>
      </c>
    </row>
    <row r="18">
      <c r="A18" s="1">
        <v>34.0</v>
      </c>
      <c r="B18" s="1">
        <v>36.0</v>
      </c>
      <c r="C18" s="19">
        <f t="shared" si="1"/>
        <v>2</v>
      </c>
      <c r="D18" s="19">
        <f t="shared" si="2"/>
        <v>4</v>
      </c>
      <c r="E18" s="1">
        <v>3.950784182</v>
      </c>
      <c r="F18" s="19" t="b">
        <f t="shared" si="3"/>
        <v>1</v>
      </c>
      <c r="G18" s="66" t="b">
        <f t="shared" si="4"/>
        <v>1</v>
      </c>
      <c r="N18" s="65">
        <v>51.25513431</v>
      </c>
    </row>
    <row r="19">
      <c r="A19" s="1">
        <v>50.0</v>
      </c>
      <c r="B19" s="1">
        <v>50.0</v>
      </c>
      <c r="C19" s="19">
        <f t="shared" si="1"/>
        <v>0</v>
      </c>
      <c r="D19" s="19">
        <f t="shared" si="2"/>
        <v>0</v>
      </c>
      <c r="E19" s="1">
        <v>3.950784182</v>
      </c>
      <c r="F19" s="19" t="b">
        <f t="shared" si="3"/>
        <v>1</v>
      </c>
      <c r="G19" s="66" t="b">
        <f t="shared" si="4"/>
        <v>1</v>
      </c>
      <c r="N19" s="65">
        <v>53.23558944</v>
      </c>
    </row>
    <row r="20">
      <c r="A20" s="1">
        <v>37.0</v>
      </c>
      <c r="B20" s="1">
        <v>36.0</v>
      </c>
      <c r="C20" s="19">
        <f t="shared" si="1"/>
        <v>1</v>
      </c>
      <c r="D20" s="19">
        <f t="shared" si="2"/>
        <v>1</v>
      </c>
      <c r="E20" s="1">
        <v>3.950784182</v>
      </c>
      <c r="F20" s="19" t="b">
        <f t="shared" si="3"/>
        <v>1</v>
      </c>
      <c r="G20" s="66" t="b">
        <f t="shared" si="4"/>
        <v>1</v>
      </c>
      <c r="N20" s="65">
        <v>59.90153024</v>
      </c>
    </row>
    <row r="21">
      <c r="A21" s="1">
        <v>53.0</v>
      </c>
      <c r="B21" s="1">
        <v>56.0</v>
      </c>
      <c r="C21" s="19">
        <f t="shared" si="1"/>
        <v>3</v>
      </c>
      <c r="D21" s="19">
        <f t="shared" si="2"/>
        <v>9</v>
      </c>
      <c r="E21" s="1">
        <v>3.950784182</v>
      </c>
      <c r="F21" s="19" t="b">
        <f t="shared" si="3"/>
        <v>1</v>
      </c>
      <c r="G21" s="66" t="b">
        <f t="shared" si="4"/>
        <v>1</v>
      </c>
      <c r="N21" s="65">
        <v>62.89291252</v>
      </c>
    </row>
    <row r="22">
      <c r="A22" s="1">
        <v>25.0</v>
      </c>
      <c r="B22" s="1">
        <v>37.0</v>
      </c>
      <c r="C22" s="19">
        <f t="shared" si="1"/>
        <v>12</v>
      </c>
      <c r="D22" s="19">
        <f t="shared" si="2"/>
        <v>144</v>
      </c>
      <c r="E22" s="1">
        <v>3.950784182</v>
      </c>
      <c r="F22" s="67" t="b">
        <f t="shared" si="3"/>
        <v>0</v>
      </c>
      <c r="G22" s="66" t="b">
        <f t="shared" si="4"/>
        <v>0</v>
      </c>
      <c r="H22" s="1" t="s">
        <v>160</v>
      </c>
      <c r="I22" s="1" t="b">
        <v>0</v>
      </c>
      <c r="N22" s="65">
        <v>68.76167422</v>
      </c>
    </row>
    <row r="23">
      <c r="A23" s="1">
        <v>41.0</v>
      </c>
      <c r="B23" s="1">
        <v>41.0</v>
      </c>
      <c r="C23" s="19">
        <f t="shared" si="1"/>
        <v>0</v>
      </c>
      <c r="D23" s="19">
        <f t="shared" si="2"/>
        <v>0</v>
      </c>
      <c r="E23" s="1">
        <v>3.950784182</v>
      </c>
      <c r="F23" s="19" t="b">
        <f t="shared" si="3"/>
        <v>1</v>
      </c>
      <c r="G23" s="66" t="b">
        <f t="shared" si="4"/>
        <v>1</v>
      </c>
      <c r="N23" s="65">
        <v>80.04391547</v>
      </c>
    </row>
    <row r="24">
      <c r="A24" s="1">
        <v>28.0</v>
      </c>
      <c r="B24" s="1">
        <v>27.0</v>
      </c>
      <c r="C24" s="19">
        <f t="shared" si="1"/>
        <v>1</v>
      </c>
      <c r="D24" s="19">
        <f t="shared" si="2"/>
        <v>1</v>
      </c>
      <c r="E24" s="1">
        <v>3.950784182</v>
      </c>
      <c r="F24" s="19" t="b">
        <f t="shared" si="3"/>
        <v>1</v>
      </c>
      <c r="G24" s="66" t="b">
        <f t="shared" si="4"/>
        <v>1</v>
      </c>
    </row>
  </sheetData>
  <drawing r:id="rId1"/>
</worksheet>
</file>